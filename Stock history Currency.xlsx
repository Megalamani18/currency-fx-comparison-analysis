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e0fc194ff4d6bee/Documents/"/>
    </mc:Choice>
  </mc:AlternateContent>
  <xr:revisionPtr revIDLastSave="107" documentId="8_{BA32C930-5B72-4574-B752-E34C47A4A0AF}" xr6:coauthVersionLast="47" xr6:coauthVersionMax="47" xr10:uidLastSave="{651DDA63-F936-4BA0-83B0-78F2D085690C}"/>
  <bookViews>
    <workbookView xWindow="1080" yWindow="930" windowWidth="16380" windowHeight="8510" xr2:uid="{FC086003-C3A4-464A-BC1C-0DDE1EC175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8" i="1" l="1" a="1"/>
  <c r="N8" i="1" s="1"/>
  <c r="N6" i="1"/>
  <c r="I6" i="1" a="1"/>
  <c r="I6" i="1" s="1"/>
  <c r="I7" i="1" a="1"/>
  <c r="I7" i="1" s="1"/>
  <c r="I8" i="1" a="1"/>
  <c r="I8" i="1" s="1"/>
  <c r="I9" i="1" a="1"/>
  <c r="I9" i="1" s="1"/>
  <c r="I10" i="1" a="1"/>
  <c r="I10" i="1" s="1"/>
  <c r="I11" i="1" a="1"/>
  <c r="I11" i="1" s="1"/>
  <c r="I12" i="1" a="1"/>
  <c r="I12" i="1" s="1"/>
  <c r="I13" i="1" a="1"/>
  <c r="I13" i="1" s="1"/>
  <c r="I14" i="1" a="1"/>
  <c r="I14" i="1" s="1"/>
  <c r="I15" i="1" a="1"/>
  <c r="I15" i="1" s="1"/>
  <c r="I16" i="1" a="1"/>
  <c r="I16" i="1" s="1"/>
  <c r="I17" i="1" a="1"/>
  <c r="I17" i="1" s="1"/>
  <c r="I18" i="1" a="1"/>
  <c r="I18" i="1" s="1"/>
  <c r="I19" i="1" a="1"/>
  <c r="I19" i="1" s="1"/>
  <c r="I20" i="1" a="1"/>
  <c r="I20" i="1" s="1"/>
  <c r="I21" i="1" a="1"/>
  <c r="I21" i="1" s="1"/>
  <c r="I22" i="1" a="1"/>
  <c r="I22" i="1" s="1"/>
  <c r="I23" i="1" a="1"/>
  <c r="I23" i="1" s="1"/>
  <c r="I24" i="1" a="1"/>
  <c r="I24" i="1" s="1"/>
  <c r="I25" i="1" a="1"/>
  <c r="I25" i="1" s="1"/>
  <c r="I26" i="1" a="1"/>
  <c r="I26" i="1" s="1"/>
  <c r="I27" i="1" a="1"/>
  <c r="I27" i="1" s="1"/>
  <c r="I28" i="1" a="1"/>
  <c r="I28" i="1" s="1"/>
  <c r="I29" i="1" a="1"/>
  <c r="I29" i="1" s="1"/>
  <c r="I30" i="1" a="1"/>
  <c r="I30" i="1" s="1"/>
  <c r="I31" i="1" a="1"/>
  <c r="I31" i="1" s="1"/>
  <c r="I5" i="1" a="1"/>
  <c r="I5" i="1" s="1"/>
  <c r="H6" i="1" a="1"/>
  <c r="H6" i="1" s="1"/>
  <c r="H7" i="1" a="1"/>
  <c r="H7" i="1" s="1"/>
  <c r="H8" i="1" a="1"/>
  <c r="H8" i="1" s="1"/>
  <c r="H9" i="1" a="1"/>
  <c r="H9" i="1" s="1"/>
  <c r="H10" i="1" a="1"/>
  <c r="H10" i="1" s="1"/>
  <c r="H11" i="1" a="1"/>
  <c r="H11" i="1" s="1"/>
  <c r="H12" i="1" a="1"/>
  <c r="H12" i="1" s="1"/>
  <c r="H13" i="1" a="1"/>
  <c r="H13" i="1" s="1"/>
  <c r="H14" i="1" a="1"/>
  <c r="H14" i="1" s="1"/>
  <c r="H15" i="1" a="1"/>
  <c r="H15" i="1" s="1"/>
  <c r="H16" i="1" a="1"/>
  <c r="H16" i="1" s="1"/>
  <c r="H17" i="1" a="1"/>
  <c r="H17" i="1" s="1"/>
  <c r="H18" i="1" a="1"/>
  <c r="H18" i="1" s="1"/>
  <c r="H19" i="1" a="1"/>
  <c r="H19" i="1" s="1"/>
  <c r="H20" i="1" a="1"/>
  <c r="H20" i="1" s="1"/>
  <c r="H21" i="1" a="1"/>
  <c r="H21" i="1" s="1"/>
  <c r="H22" i="1" a="1"/>
  <c r="H22" i="1" s="1"/>
  <c r="H23" i="1" a="1"/>
  <c r="H23" i="1" s="1"/>
  <c r="H24" i="1" a="1"/>
  <c r="H24" i="1" s="1"/>
  <c r="H25" i="1" a="1"/>
  <c r="H25" i="1" s="1"/>
  <c r="H26" i="1" a="1"/>
  <c r="H26" i="1" s="1"/>
  <c r="H27" i="1" a="1"/>
  <c r="H27" i="1" s="1"/>
  <c r="H28" i="1" a="1"/>
  <c r="H28" i="1" s="1"/>
  <c r="H29" i="1" a="1"/>
  <c r="H29" i="1" s="1"/>
  <c r="H30" i="1" a="1"/>
  <c r="H30" i="1" s="1"/>
  <c r="H31" i="1" a="1"/>
  <c r="H31" i="1" s="1"/>
  <c r="H5" i="1" a="1"/>
  <c r="H5" i="1" s="1"/>
  <c r="G6" i="1" a="1"/>
  <c r="G6" i="1" s="1"/>
  <c r="G7" i="1" a="1"/>
  <c r="G7" i="1" s="1"/>
  <c r="G8" i="1" a="1"/>
  <c r="G8" i="1" s="1"/>
  <c r="G9" i="1" a="1"/>
  <c r="G9" i="1" s="1"/>
  <c r="G10" i="1" a="1"/>
  <c r="G10" i="1" s="1"/>
  <c r="G11" i="1" a="1"/>
  <c r="G11" i="1" s="1"/>
  <c r="G12" i="1" a="1"/>
  <c r="G12" i="1" s="1"/>
  <c r="G13" i="1" a="1"/>
  <c r="G13" i="1" s="1"/>
  <c r="G14" i="1" a="1"/>
  <c r="G14" i="1" s="1"/>
  <c r="G15" i="1" a="1"/>
  <c r="G15" i="1" s="1"/>
  <c r="G16" i="1" a="1"/>
  <c r="G16" i="1" s="1"/>
  <c r="G17" i="1" a="1"/>
  <c r="G17" i="1" s="1"/>
  <c r="G18" i="1" a="1"/>
  <c r="G18" i="1" s="1"/>
  <c r="G19" i="1" a="1"/>
  <c r="G19" i="1" s="1"/>
  <c r="G20" i="1" a="1"/>
  <c r="G20" i="1" s="1"/>
  <c r="G21" i="1" a="1"/>
  <c r="G21" i="1" s="1"/>
  <c r="G22" i="1" a="1"/>
  <c r="G22" i="1" s="1"/>
  <c r="G23" i="1" a="1"/>
  <c r="G23" i="1" s="1"/>
  <c r="G24" i="1" a="1"/>
  <c r="G24" i="1" s="1"/>
  <c r="G25" i="1" a="1"/>
  <c r="G25" i="1" s="1"/>
  <c r="G26" i="1" a="1"/>
  <c r="G26" i="1" s="1"/>
  <c r="G27" i="1" a="1"/>
  <c r="G27" i="1" s="1"/>
  <c r="G28" i="1" a="1"/>
  <c r="G28" i="1" s="1"/>
  <c r="G29" i="1" a="1"/>
  <c r="G29" i="1" s="1"/>
  <c r="G30" i="1" a="1"/>
  <c r="G30" i="1" s="1"/>
  <c r="G31" i="1" a="1"/>
  <c r="G31" i="1" s="1"/>
  <c r="G5" i="1" a="1"/>
  <c r="G5" i="1" s="1"/>
  <c r="F13" i="1" a="1"/>
  <c r="F13" i="1" s="1"/>
  <c r="F14" i="1" a="1"/>
  <c r="F14" i="1" s="1"/>
  <c r="F15" i="1" a="1"/>
  <c r="F15" i="1" s="1"/>
  <c r="F16" i="1" a="1"/>
  <c r="F16" i="1" s="1"/>
  <c r="F17" i="1" a="1"/>
  <c r="F17" i="1" s="1"/>
  <c r="F18" i="1" a="1"/>
  <c r="F18" i="1" s="1"/>
  <c r="F19" i="1" a="1"/>
  <c r="F19" i="1" s="1"/>
  <c r="F20" i="1" a="1"/>
  <c r="F20" i="1" s="1"/>
  <c r="F21" i="1" a="1"/>
  <c r="F21" i="1" s="1"/>
  <c r="F22" i="1" a="1"/>
  <c r="F22" i="1" s="1"/>
  <c r="F23" i="1" a="1"/>
  <c r="F23" i="1" s="1"/>
  <c r="F24" i="1" a="1"/>
  <c r="F24" i="1" s="1"/>
  <c r="F25" i="1" a="1"/>
  <c r="F25" i="1" s="1"/>
  <c r="F26" i="1" a="1"/>
  <c r="F26" i="1" s="1"/>
  <c r="F27" i="1" a="1"/>
  <c r="F27" i="1" s="1"/>
  <c r="F28" i="1" a="1"/>
  <c r="F28" i="1" s="1"/>
  <c r="F29" i="1" a="1"/>
  <c r="F29" i="1" s="1"/>
  <c r="F30" i="1" a="1"/>
  <c r="F30" i="1" s="1"/>
  <c r="F31" i="1" a="1"/>
  <c r="F31" i="1" s="1"/>
  <c r="F6" i="1" a="1"/>
  <c r="F6" i="1" s="1"/>
  <c r="F7" i="1" a="1"/>
  <c r="F7" i="1" s="1"/>
  <c r="F8" i="1" a="1"/>
  <c r="F8" i="1" s="1"/>
  <c r="F9" i="1" a="1"/>
  <c r="F9" i="1" s="1"/>
  <c r="F10" i="1" a="1"/>
  <c r="F10" i="1" s="1"/>
  <c r="F11" i="1" a="1"/>
  <c r="F11" i="1" s="1"/>
  <c r="F12" i="1" a="1"/>
  <c r="F12" i="1" s="1"/>
  <c r="F5" i="1" a="1"/>
  <c r="F5" i="1" s="1"/>
  <c r="N9" i="1" a="1"/>
  <c r="N9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69">
    <bk>
      <extLst>
        <ext uri="{3e2802c4-a4d2-4d8b-9148-e3be6c30e623}">
          <xlrd:rvb i="1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</futureMetadata>
  <cellMetadata count="1">
    <bk>
      <rc t="1" v="0"/>
    </bk>
  </cellMetadata>
  <valueMetadata count="169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  <bk>
      <rc t="2" v="106"/>
    </bk>
    <bk>
      <rc t="2" v="107"/>
    </bk>
    <bk>
      <rc t="2" v="108"/>
    </bk>
    <bk>
      <rc t="2" v="109"/>
    </bk>
    <bk>
      <rc t="2" v="110"/>
    </bk>
    <bk>
      <rc t="2" v="111"/>
    </bk>
    <bk>
      <rc t="2" v="112"/>
    </bk>
    <bk>
      <rc t="2" v="113"/>
    </bk>
    <bk>
      <rc t="2" v="114"/>
    </bk>
    <bk>
      <rc t="2" v="115"/>
    </bk>
    <bk>
      <rc t="2" v="116"/>
    </bk>
    <bk>
      <rc t="2" v="117"/>
    </bk>
    <bk>
      <rc t="2" v="118"/>
    </bk>
    <bk>
      <rc t="2" v="119"/>
    </bk>
    <bk>
      <rc t="2" v="120"/>
    </bk>
    <bk>
      <rc t="2" v="121"/>
    </bk>
    <bk>
      <rc t="2" v="122"/>
    </bk>
    <bk>
      <rc t="2" v="123"/>
    </bk>
    <bk>
      <rc t="2" v="124"/>
    </bk>
    <bk>
      <rc t="2" v="125"/>
    </bk>
    <bk>
      <rc t="2" v="126"/>
    </bk>
    <bk>
      <rc t="2" v="127"/>
    </bk>
    <bk>
      <rc t="2" v="128"/>
    </bk>
    <bk>
      <rc t="2" v="129"/>
    </bk>
    <bk>
      <rc t="2" v="130"/>
    </bk>
    <bk>
      <rc t="2" v="131"/>
    </bk>
    <bk>
      <rc t="2" v="132"/>
    </bk>
    <bk>
      <rc t="2" v="133"/>
    </bk>
    <bk>
      <rc t="2" v="134"/>
    </bk>
    <bk>
      <rc t="2" v="135"/>
    </bk>
    <bk>
      <rc t="2" v="136"/>
    </bk>
    <bk>
      <rc t="2" v="137"/>
    </bk>
    <bk>
      <rc t="2" v="138"/>
    </bk>
    <bk>
      <rc t="2" v="139"/>
    </bk>
    <bk>
      <rc t="2" v="140"/>
    </bk>
    <bk>
      <rc t="2" v="141"/>
    </bk>
    <bk>
      <rc t="2" v="142"/>
    </bk>
    <bk>
      <rc t="2" v="143"/>
    </bk>
    <bk>
      <rc t="2" v="144"/>
    </bk>
    <bk>
      <rc t="2" v="145"/>
    </bk>
    <bk>
      <rc t="2" v="146"/>
    </bk>
    <bk>
      <rc t="2" v="147"/>
    </bk>
    <bk>
      <rc t="2" v="148"/>
    </bk>
    <bk>
      <rc t="2" v="149"/>
    </bk>
    <bk>
      <rc t="2" v="150"/>
    </bk>
    <bk>
      <rc t="2" v="151"/>
    </bk>
    <bk>
      <rc t="2" v="152"/>
    </bk>
    <bk>
      <rc t="2" v="153"/>
    </bk>
    <bk>
      <rc t="2" v="154"/>
    </bk>
    <bk>
      <rc t="2" v="155"/>
    </bk>
    <bk>
      <rc t="2" v="156"/>
    </bk>
    <bk>
      <rc t="2" v="157"/>
    </bk>
    <bk>
      <rc t="2" v="158"/>
    </bk>
    <bk>
      <rc t="2" v="159"/>
    </bk>
    <bk>
      <rc t="2" v="160"/>
    </bk>
    <bk>
      <rc t="2" v="161"/>
    </bk>
    <bk>
      <rc t="2" v="162"/>
    </bk>
    <bk>
      <rc t="2" v="163"/>
    </bk>
    <bk>
      <rc t="2" v="164"/>
    </bk>
    <bk>
      <rc t="2" v="165"/>
    </bk>
    <bk>
      <rc t="2" v="166"/>
    </bk>
    <bk>
      <rc t="2" v="167"/>
    </bk>
    <bk>
      <rc t="2" v="168"/>
    </bk>
  </valueMetadata>
</metadata>
</file>

<file path=xl/sharedStrings.xml><?xml version="1.0" encoding="utf-8"?>
<sst xmlns="http://schemas.openxmlformats.org/spreadsheetml/2006/main" count="93" uniqueCount="66">
  <si>
    <t>Currency</t>
  </si>
  <si>
    <t>Kuwaiti Dinar</t>
  </si>
  <si>
    <t>Bahraini Dinar</t>
  </si>
  <si>
    <t>Omani Rial</t>
  </si>
  <si>
    <t>Jordanian Dinar</t>
  </si>
  <si>
    <t>British Pound</t>
  </si>
  <si>
    <t>Swiss Franc</t>
  </si>
  <si>
    <t>Cayman Islands Dollar</t>
  </si>
  <si>
    <t>Euro</t>
  </si>
  <si>
    <t>United States Dollar</t>
  </si>
  <si>
    <t>Singapore Dollar</t>
  </si>
  <si>
    <t>Brunei Dollar</t>
  </si>
  <si>
    <t>Canadian Dollar</t>
  </si>
  <si>
    <t>Australian Dollar</t>
  </si>
  <si>
    <t>Bulgarian Lev</t>
  </si>
  <si>
    <t>Azerbaijani Manat</t>
  </si>
  <si>
    <t>New Zealand Dollar</t>
  </si>
  <si>
    <t>Aruban Florin</t>
  </si>
  <si>
    <t>Belize Dollar</t>
  </si>
  <si>
    <t>Barbadian Dollar</t>
  </si>
  <si>
    <t>Fijian Dollar</t>
  </si>
  <si>
    <t>Georgian Iari</t>
  </si>
  <si>
    <t>East Caribbean Dollar</t>
  </si>
  <si>
    <t>Qatari Riyal</t>
  </si>
  <si>
    <t>United Arab Emirates Dirham</t>
  </si>
  <si>
    <t>Saudi Riyal</t>
  </si>
  <si>
    <t>Malaysian Ringgit</t>
  </si>
  <si>
    <t>Chinese Yuan</t>
  </si>
  <si>
    <t>Ticker</t>
  </si>
  <si>
    <t>KWD</t>
  </si>
  <si>
    <t>BHD</t>
  </si>
  <si>
    <t>GBP</t>
  </si>
  <si>
    <t>OMR</t>
  </si>
  <si>
    <t>JOD</t>
  </si>
  <si>
    <t>CHF</t>
  </si>
  <si>
    <t>KYD</t>
  </si>
  <si>
    <t>EUR</t>
  </si>
  <si>
    <t>USD</t>
  </si>
  <si>
    <t>SGD</t>
  </si>
  <si>
    <t>BND</t>
  </si>
  <si>
    <t>CAD</t>
  </si>
  <si>
    <t>AUD</t>
  </si>
  <si>
    <t>BGN</t>
  </si>
  <si>
    <t>AZN</t>
  </si>
  <si>
    <t>NZD</t>
  </si>
  <si>
    <t>BZD</t>
  </si>
  <si>
    <t>BBD</t>
  </si>
  <si>
    <t>FJD</t>
  </si>
  <si>
    <t>GEL</t>
  </si>
  <si>
    <t>XCD</t>
  </si>
  <si>
    <t>QAR</t>
  </si>
  <si>
    <t>AED</t>
  </si>
  <si>
    <t>SAR</t>
  </si>
  <si>
    <t>MYR</t>
  </si>
  <si>
    <t>CNY</t>
  </si>
  <si>
    <t>Convertion</t>
  </si>
  <si>
    <t>Price</t>
  </si>
  <si>
    <t>High</t>
  </si>
  <si>
    <t>Low</t>
  </si>
  <si>
    <t>Change</t>
  </si>
  <si>
    <t>Type</t>
  </si>
  <si>
    <t>Currency Pair</t>
  </si>
  <si>
    <t>Start Date</t>
  </si>
  <si>
    <t>End Date</t>
  </si>
  <si>
    <t>Conversion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</si>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</sst>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-2]\ * #,##0.00_);_([$€-2]\ * \(#,##0.00\);_([$€-2]\ 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164" fontId="0" fillId="0" borderId="0" xfId="0" applyNumberFormat="1"/>
    <xf numFmtId="10" fontId="0" fillId="0" borderId="0" xfId="0" applyNumberForma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2" borderId="1" xfId="0" applyFill="1" applyBorder="1"/>
    <xf numFmtId="14" fontId="0" fillId="0" borderId="4" xfId="0" applyNumberFormat="1" applyBorder="1"/>
    <xf numFmtId="14" fontId="0" fillId="0" borderId="6" xfId="0" applyNumberFormat="1" applyBorder="1"/>
    <xf numFmtId="0" fontId="0" fillId="2" borderId="2" xfId="0" applyFill="1" applyBorder="1"/>
    <xf numFmtId="0" fontId="0" fillId="2" borderId="5" xfId="0" applyFill="1" applyBorder="1"/>
    <xf numFmtId="0" fontId="0" fillId="2" borderId="7" xfId="0" applyFill="1" applyBorder="1"/>
    <xf numFmtId="0" fontId="1" fillId="3" borderId="5" xfId="0" applyFont="1" applyFill="1" applyBorder="1"/>
    <xf numFmtId="0" fontId="1" fillId="3" borderId="0" xfId="0" applyFont="1" applyFill="1"/>
    <xf numFmtId="0" fontId="1" fillId="3" borderId="7" xfId="0" applyFont="1" applyFill="1" applyBorder="1"/>
    <xf numFmtId="0" fontId="1" fillId="3" borderId="8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Array" Target="richData/rdarray.xml"/><Relationship Id="rId13" Type="http://schemas.openxmlformats.org/officeDocument/2006/relationships/calcChain" Target="calcChain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12" Type="http://schemas.microsoft.com/office/2017/06/relationships/rdRichValueTypes" Target="richData/rdRichValueTyp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11" Type="http://schemas.microsoft.com/office/2017/06/relationships/rdSupportingPropertyBag" Target="richData/rdsupportingpropertybag.xml"/><Relationship Id="rId5" Type="http://schemas.openxmlformats.org/officeDocument/2006/relationships/sheetMetadata" Target="metadata.xml"/><Relationship Id="rId10" Type="http://schemas.microsoft.com/office/2017/06/relationships/rdSupportingPropertyBagStructure" Target="richData/rdsupportingpropertybagstructure.xml"/><Relationship Id="rId4" Type="http://schemas.openxmlformats.org/officeDocument/2006/relationships/sharedStrings" Target="sharedStrings.xml"/><Relationship Id="rId9" Type="http://schemas.microsoft.com/office/2017/06/relationships/richStyles" Target="richData/rich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Sheet1!$N$8</c:f>
          <c:strCache>
            <c:ptCount val="1"/>
            <c:pt idx="0">
              <c:v>UK Pound Sterling/Euro FX Cross Rate</c:v>
            </c:pt>
          </c:strCache>
        </c:strRef>
      </c:tx>
      <c:layout>
        <c:manualLayout>
          <c:xMode val="edge"/>
          <c:yMode val="edge"/>
          <c:x val="0.23175000000000004"/>
          <c:y val="1.85185185185185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Sheet1!$O$9</c:f>
              <c:strCache>
                <c:ptCount val="1"/>
                <c:pt idx="0">
                  <c:v>Close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Sheet1!$N$10:$N$222</c:f>
              <c:numCache>
                <c:formatCode>m/d/yyyy</c:formatCode>
                <c:ptCount val="213"/>
                <c:pt idx="0">
                  <c:v>45656</c:v>
                </c:pt>
                <c:pt idx="1">
                  <c:v>45663</c:v>
                </c:pt>
                <c:pt idx="2">
                  <c:v>45670</c:v>
                </c:pt>
                <c:pt idx="3">
                  <c:v>45677</c:v>
                </c:pt>
                <c:pt idx="4">
                  <c:v>45684</c:v>
                </c:pt>
                <c:pt idx="5">
                  <c:v>45691</c:v>
                </c:pt>
                <c:pt idx="6">
                  <c:v>45698</c:v>
                </c:pt>
                <c:pt idx="7">
                  <c:v>45705</c:v>
                </c:pt>
                <c:pt idx="8">
                  <c:v>45712</c:v>
                </c:pt>
                <c:pt idx="9">
                  <c:v>45719</c:v>
                </c:pt>
                <c:pt idx="10">
                  <c:v>45726</c:v>
                </c:pt>
                <c:pt idx="11">
                  <c:v>45733</c:v>
                </c:pt>
                <c:pt idx="12">
                  <c:v>45740</c:v>
                </c:pt>
                <c:pt idx="13">
                  <c:v>45747</c:v>
                </c:pt>
                <c:pt idx="14">
                  <c:v>45754</c:v>
                </c:pt>
                <c:pt idx="15">
                  <c:v>45761</c:v>
                </c:pt>
                <c:pt idx="16">
                  <c:v>45768</c:v>
                </c:pt>
                <c:pt idx="17">
                  <c:v>45775</c:v>
                </c:pt>
                <c:pt idx="18">
                  <c:v>45782</c:v>
                </c:pt>
                <c:pt idx="19">
                  <c:v>45789</c:v>
                </c:pt>
                <c:pt idx="20">
                  <c:v>45796</c:v>
                </c:pt>
                <c:pt idx="21">
                  <c:v>45803</c:v>
                </c:pt>
                <c:pt idx="22">
                  <c:v>45810</c:v>
                </c:pt>
                <c:pt idx="23">
                  <c:v>45817</c:v>
                </c:pt>
                <c:pt idx="24">
                  <c:v>45824</c:v>
                </c:pt>
                <c:pt idx="25">
                  <c:v>45831</c:v>
                </c:pt>
                <c:pt idx="26">
                  <c:v>45838</c:v>
                </c:pt>
                <c:pt idx="27">
                  <c:v>45845</c:v>
                </c:pt>
                <c:pt idx="28">
                  <c:v>45852</c:v>
                </c:pt>
                <c:pt idx="29">
                  <c:v>45859</c:v>
                </c:pt>
                <c:pt idx="30">
                  <c:v>45866</c:v>
                </c:pt>
                <c:pt idx="31">
                  <c:v>45873</c:v>
                </c:pt>
                <c:pt idx="32">
                  <c:v>45880</c:v>
                </c:pt>
                <c:pt idx="33">
                  <c:v>45887</c:v>
                </c:pt>
                <c:pt idx="34">
                  <c:v>45894</c:v>
                </c:pt>
                <c:pt idx="35">
                  <c:v>45901</c:v>
                </c:pt>
                <c:pt idx="36">
                  <c:v>45908</c:v>
                </c:pt>
                <c:pt idx="37">
                  <c:v>45915</c:v>
                </c:pt>
                <c:pt idx="38">
                  <c:v>45922</c:v>
                </c:pt>
                <c:pt idx="39">
                  <c:v>45929</c:v>
                </c:pt>
                <c:pt idx="40">
                  <c:v>45936</c:v>
                </c:pt>
                <c:pt idx="41">
                  <c:v>45943</c:v>
                </c:pt>
                <c:pt idx="42">
                  <c:v>45950</c:v>
                </c:pt>
                <c:pt idx="43">
                  <c:v>45957</c:v>
                </c:pt>
                <c:pt idx="44">
                  <c:v>45964</c:v>
                </c:pt>
                <c:pt idx="45">
                  <c:v>45971</c:v>
                </c:pt>
                <c:pt idx="46">
                  <c:v>45978</c:v>
                </c:pt>
                <c:pt idx="47">
                  <c:v>45985</c:v>
                </c:pt>
                <c:pt idx="48">
                  <c:v>45992</c:v>
                </c:pt>
                <c:pt idx="49">
                  <c:v>45999</c:v>
                </c:pt>
                <c:pt idx="50">
                  <c:v>46006</c:v>
                </c:pt>
                <c:pt idx="51">
                  <c:v>46013</c:v>
                </c:pt>
                <c:pt idx="52">
                  <c:v>46020</c:v>
                </c:pt>
                <c:pt idx="53">
                  <c:v>46027</c:v>
                </c:pt>
                <c:pt idx="54">
                  <c:v>46034</c:v>
                </c:pt>
                <c:pt idx="55">
                  <c:v>46041</c:v>
                </c:pt>
                <c:pt idx="56">
                  <c:v>46048</c:v>
                </c:pt>
                <c:pt idx="57">
                  <c:v>46055</c:v>
                </c:pt>
                <c:pt idx="58">
                  <c:v>46062</c:v>
                </c:pt>
                <c:pt idx="59">
                  <c:v>46069</c:v>
                </c:pt>
                <c:pt idx="60">
                  <c:v>46076</c:v>
                </c:pt>
                <c:pt idx="61">
                  <c:v>46083</c:v>
                </c:pt>
                <c:pt idx="62">
                  <c:v>46090</c:v>
                </c:pt>
                <c:pt idx="63">
                  <c:v>46097</c:v>
                </c:pt>
                <c:pt idx="64">
                  <c:v>46104</c:v>
                </c:pt>
                <c:pt idx="65">
                  <c:v>46111</c:v>
                </c:pt>
                <c:pt idx="66">
                  <c:v>46118</c:v>
                </c:pt>
                <c:pt idx="67">
                  <c:v>46125</c:v>
                </c:pt>
                <c:pt idx="68">
                  <c:v>46132</c:v>
                </c:pt>
                <c:pt idx="69">
                  <c:v>46139</c:v>
                </c:pt>
                <c:pt idx="70">
                  <c:v>46146</c:v>
                </c:pt>
                <c:pt idx="71">
                  <c:v>46153</c:v>
                </c:pt>
                <c:pt idx="72">
                  <c:v>46160</c:v>
                </c:pt>
                <c:pt idx="73">
                  <c:v>46167</c:v>
                </c:pt>
              </c:numCache>
            </c:numRef>
          </c:cat>
          <c:val>
            <c:numRef>
              <c:f>Sheet1!$O$10:$O$222</c:f>
              <c:numCache>
                <c:formatCode>_([$€-2]\ * #,##0.00_);_([$€-2]\ * \(#,##0.00\);_([$€-2]\ * "-"??_);_(@_)</c:formatCode>
                <c:ptCount val="213"/>
                <c:pt idx="0">
                  <c:v>1.2048000000000001</c:v>
                </c:pt>
                <c:pt idx="1">
                  <c:v>1.1910000000000001</c:v>
                </c:pt>
                <c:pt idx="2">
                  <c:v>1.1840999999999999</c:v>
                </c:pt>
                <c:pt idx="3">
                  <c:v>1.1890000000000001</c:v>
                </c:pt>
                <c:pt idx="4">
                  <c:v>1.1954</c:v>
                </c:pt>
                <c:pt idx="5">
                  <c:v>1.2015</c:v>
                </c:pt>
                <c:pt idx="6">
                  <c:v>1.1991000000000001</c:v>
                </c:pt>
                <c:pt idx="7">
                  <c:v>1.2075</c:v>
                </c:pt>
                <c:pt idx="8">
                  <c:v>1.212</c:v>
                </c:pt>
                <c:pt idx="9">
                  <c:v>1.1923999999999999</c:v>
                </c:pt>
                <c:pt idx="10">
                  <c:v>1.1883999999999999</c:v>
                </c:pt>
                <c:pt idx="11">
                  <c:v>1.1940999999999999</c:v>
                </c:pt>
                <c:pt idx="12">
                  <c:v>1.1948000000000001</c:v>
                </c:pt>
                <c:pt idx="13">
                  <c:v>1.1763999999999999</c:v>
                </c:pt>
                <c:pt idx="14">
                  <c:v>1.1513</c:v>
                </c:pt>
                <c:pt idx="15">
                  <c:v>1.1668000000000001</c:v>
                </c:pt>
                <c:pt idx="16">
                  <c:v>1.1714</c:v>
                </c:pt>
                <c:pt idx="17">
                  <c:v>1.1747000000000001</c:v>
                </c:pt>
                <c:pt idx="18">
                  <c:v>1.1827000000000001</c:v>
                </c:pt>
                <c:pt idx="19">
                  <c:v>1.1888000000000001</c:v>
                </c:pt>
                <c:pt idx="20">
                  <c:v>1.1909000000000001</c:v>
                </c:pt>
                <c:pt idx="21">
                  <c:v>1.1859</c:v>
                </c:pt>
                <c:pt idx="22">
                  <c:v>1.1865000000000001</c:v>
                </c:pt>
                <c:pt idx="23">
                  <c:v>1.1740999999999999</c:v>
                </c:pt>
                <c:pt idx="24">
                  <c:v>1.1671</c:v>
                </c:pt>
                <c:pt idx="25">
                  <c:v>1.17</c:v>
                </c:pt>
                <c:pt idx="26">
                  <c:v>1.1589</c:v>
                </c:pt>
                <c:pt idx="27">
                  <c:v>1.1546000000000001</c:v>
                </c:pt>
                <c:pt idx="28">
                  <c:v>1.1528</c:v>
                </c:pt>
                <c:pt idx="29">
                  <c:v>1.1438999999999999</c:v>
                </c:pt>
                <c:pt idx="30">
                  <c:v>1.1458999999999999</c:v>
                </c:pt>
                <c:pt idx="31">
                  <c:v>1.1553</c:v>
                </c:pt>
                <c:pt idx="32">
                  <c:v>1.1583000000000001</c:v>
                </c:pt>
                <c:pt idx="33">
                  <c:v>1.1539999999999999</c:v>
                </c:pt>
                <c:pt idx="34">
                  <c:v>1.1553</c:v>
                </c:pt>
                <c:pt idx="35">
                  <c:v>1.1523000000000001</c:v>
                </c:pt>
                <c:pt idx="36">
                  <c:v>1.1552</c:v>
                </c:pt>
                <c:pt idx="37">
                  <c:v>1.1463000000000001</c:v>
                </c:pt>
                <c:pt idx="38">
                  <c:v>1.145</c:v>
                </c:pt>
                <c:pt idx="39">
                  <c:v>1.1476</c:v>
                </c:pt>
                <c:pt idx="40">
                  <c:v>1.1494</c:v>
                </c:pt>
                <c:pt idx="41">
                  <c:v>1.1520999999999999</c:v>
                </c:pt>
                <c:pt idx="42">
                  <c:v>1.1447000000000001</c:v>
                </c:pt>
                <c:pt idx="43">
                  <c:v>1.1398999999999999</c:v>
                </c:pt>
                <c:pt idx="44">
                  <c:v>1.1375</c:v>
                </c:pt>
                <c:pt idx="45">
                  <c:v>1.133</c:v>
                </c:pt>
                <c:pt idx="46">
                  <c:v>1.1372</c:v>
                </c:pt>
                <c:pt idx="47">
                  <c:v>1.1413</c:v>
                </c:pt>
                <c:pt idx="48">
                  <c:v>1.1448</c:v>
                </c:pt>
                <c:pt idx="49">
                  <c:v>1.1386000000000001</c:v>
                </c:pt>
                <c:pt idx="50">
                  <c:v>1.1420999999999999</c:v>
                </c:pt>
                <c:pt idx="51">
                  <c:v>1.1462000000000001</c:v>
                </c:pt>
                <c:pt idx="52">
                  <c:v>1.1479999999999999</c:v>
                </c:pt>
                <c:pt idx="53">
                  <c:v>1.1512</c:v>
                </c:pt>
                <c:pt idx="54">
                  <c:v>1.1534</c:v>
                </c:pt>
                <c:pt idx="55">
                  <c:v>1.1531</c:v>
                </c:pt>
                <c:pt idx="56">
                  <c:v>1.1549</c:v>
                </c:pt>
                <c:pt idx="57">
                  <c:v>1.1515</c:v>
                </c:pt>
                <c:pt idx="58">
                  <c:v>1.1497999999999999</c:v>
                </c:pt>
                <c:pt idx="59">
                  <c:v>1.1442000000000001</c:v>
                </c:pt>
                <c:pt idx="60">
                  <c:v>1.1413</c:v>
                </c:pt>
                <c:pt idx="61">
                  <c:v>1.1541999999999999</c:v>
                </c:pt>
                <c:pt idx="62">
                  <c:v>1.1580999999999999</c:v>
                </c:pt>
                <c:pt idx="63">
                  <c:v>1.1527000000000001</c:v>
                </c:pt>
                <c:pt idx="64">
                  <c:v>1.1515</c:v>
                </c:pt>
                <c:pt idx="65">
                  <c:v>1.145</c:v>
                </c:pt>
                <c:pt idx="66">
                  <c:v>1.1482000000000001</c:v>
                </c:pt>
                <c:pt idx="67">
                  <c:v>1.1487000000000001</c:v>
                </c:pt>
                <c:pt idx="68">
                  <c:v>1.1540999999999999</c:v>
                </c:pt>
                <c:pt idx="69">
                  <c:v>1.1577999999999999</c:v>
                </c:pt>
                <c:pt idx="70">
                  <c:v>1.1564000000000001</c:v>
                </c:pt>
                <c:pt idx="71">
                  <c:v>1.1456999999999999</c:v>
                </c:pt>
                <c:pt idx="72">
                  <c:v>1.1571</c:v>
                </c:pt>
                <c:pt idx="73">
                  <c:v>1.1541999999999999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0C-443A-A165-3AE200324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205424096"/>
        <c:axId val="205436576"/>
      </c:lineChart>
      <c:dateAx>
        <c:axId val="20542409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36576"/>
        <c:crosses val="autoZero"/>
        <c:auto val="1"/>
        <c:lblOffset val="100"/>
        <c:baseTimeUnit val="days"/>
      </c:dateAx>
      <c:valAx>
        <c:axId val="205436576"/>
        <c:scaling>
          <c:orientation val="minMax"/>
        </c:scaling>
        <c:delete val="0"/>
        <c:axPos val="l"/>
        <c:numFmt formatCode="_([$€-2]\ * #,##0.00_);_([$€-2]\ * \(#,##0.00\);_([$€-2]\ 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24096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  <a:scene3d>
      <a:camera prst="orthographicFront"/>
      <a:lightRig rig="soft" dir="t">
        <a:rot lat="0" lon="0" rev="0"/>
      </a:lightRig>
    </a:scene3d>
    <a:sp3d prstMaterial="matte">
      <a:bevelT w="63500" h="63500" prst="artDeco"/>
      <a:contourClr>
        <a:srgbClr val="000000"/>
      </a:contourClr>
    </a:sp3d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22679</xdr:colOff>
      <xdr:row>2</xdr:row>
      <xdr:rowOff>158750</xdr:rowOff>
    </xdr:from>
    <xdr:to>
      <xdr:col>23</xdr:col>
      <xdr:colOff>215447</xdr:colOff>
      <xdr:row>29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2DBDB5-AE2A-8BA4-3251-80B43BB968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linkedentity">
      <keyFlags>
        <key name="%cvi">
          <flag name="ShowInCardView" value="0"/>
          <flag name="ShowInDotNotation" value="0"/>
          <flag name="ShowInAutoComplete" value="0"/>
          <flag name="ExcludeFromCalcComparison" value="1"/>
        </key>
      </keyFlags>
    </type>
    <type name="_linkedentitycore">
      <keyFlags>
        <key name="%EntityServiceId">
          <flag name="ShowInCardView" value="0"/>
          <flag name="ShowInDotNotation" value="0"/>
          <flag name="ShowInAutoComplete" value="0"/>
        </key>
        <key name="%EntitySubDomainId">
          <flag name="ShowInCardView" value="0"/>
          <flag name="ShowInDotNotation" value="0"/>
          <flag name="ShowInAutoComplete" value="0"/>
        </key>
        <key name="%EntityCulture">
          <flag name="ShowInCardView" value="0"/>
          <flag name="ShowInDotNotation" value="0"/>
          <flag name="ShowInAutoComplete" value="0"/>
        </key>
        <key name="%EntityId">
          <flag name="ShowInCardView" value="0"/>
          <flag name="ShowInDotNotation" value="0"/>
          <flag name="ShowInAutoComplete" value="0"/>
        </key>
        <key name="%IsRefreshable">
          <flag name="ShowInCardView" value="0"/>
          <flag name="ShowInDotNotation" value="0"/>
          <flag name="ShowInAutoComplete" value="0"/>
          <flag name="ExcludeFromCalcComparison" value="1"/>
        </key>
        <key name="%ProviderInfo">
          <flag name="ShowInCardView" value="0"/>
          <flag name="ShowInDotNotation" value="0"/>
          <flag name="ShowInAutoComplete" value="0"/>
        </key>
        <key name="%DataProviderExternalLinkLogo">
          <flag name="ShowInCardView" value="0"/>
          <flag name="ShowInDotNotation" value="0"/>
          <flag name="ShowInAutoComplete" value="0"/>
        </key>
        <key name="%DataProviderExternalLink">
          <flag name="ShowInCardView" value="0"/>
          <flag name="ShowInDotNotation" value="0"/>
          <flag name="ShowInAutoComplete" value="0"/>
        </key>
        <key name="%OutdatedReason">
          <flag name="ShowInCardView" value="0"/>
          <flag name="ShowInDotNotation" value="0"/>
          <flag name="ShowInAutoComplete" value="0"/>
          <flag name="ExcludeFromCalcComparison" value="1"/>
        </key>
      </keyFlags>
    </type>
  </types>
</rvTypesInfo>
</file>

<file path=xl/richData/rdarray.xml><?xml version="1.0" encoding="utf-8"?>
<arrayData xmlns="http://schemas.microsoft.com/office/spreadsheetml/2017/richdata2" count="2">
  <a r="1" c="74">
    <v t="i">1</v>
    <v t="i">8</v>
    <v t="i">15</v>
    <v t="i">22</v>
    <v t="i">29</v>
    <v t="i">36</v>
    <v t="i">43</v>
    <v t="i">50</v>
    <v t="i">57</v>
    <v t="i">64</v>
    <v t="i">71</v>
    <v t="i">78</v>
    <v t="i">85</v>
    <v t="i">92</v>
    <v t="i">99</v>
    <v t="i">106</v>
    <v t="i">113</v>
    <v t="i">120</v>
    <v t="i">127</v>
    <v t="i">134</v>
    <v t="i">141</v>
    <v t="i">148</v>
    <v t="i">155</v>
    <v t="i">162</v>
    <v t="i">169</v>
    <v t="i">176</v>
    <v t="i">183</v>
    <v t="i">190</v>
    <v t="i">197</v>
    <v t="i">204</v>
    <v t="i">211</v>
    <v t="i">218</v>
    <v t="i">225</v>
    <v t="i">232</v>
    <v t="i">239</v>
    <v t="i">246</v>
    <v t="i">253</v>
    <v t="i">260</v>
    <v t="i">267</v>
    <v t="i">274</v>
    <v t="i">281</v>
    <v t="i">288</v>
    <v t="i">295</v>
    <v t="i">302</v>
    <v t="i">309</v>
    <v t="i">316</v>
    <v t="i">323</v>
    <v t="i">330</v>
    <v t="i">337</v>
    <v t="i">344</v>
    <v t="i">351</v>
    <v t="i">358</v>
    <v t="i">365</v>
    <v t="i">372</v>
    <v t="i">379</v>
    <v t="i">386</v>
    <v t="i">393</v>
    <v t="i">400</v>
    <v t="i">407</v>
    <v t="i">414</v>
    <v t="i">421</v>
    <v t="i">428</v>
    <v t="i">435</v>
    <v t="i">442</v>
    <v t="i">449</v>
    <v t="i">456</v>
    <v t="i">463</v>
    <v t="i">470</v>
    <v t="i">477</v>
    <v t="i">484</v>
    <v t="i">491</v>
    <v t="i">498</v>
    <v t="i">505</v>
    <v t="i">512</v>
  </a>
  <a r="1" c="74">
    <v>1.2048000000000001</v>
    <v>1.1910000000000001</v>
    <v>1.1840999999999999</v>
    <v>1.1890000000000001</v>
    <v>1.1954</v>
    <v>1.2015</v>
    <v>1.1991000000000001</v>
    <v>1.2075</v>
    <v>1.212</v>
    <v>1.1923999999999999</v>
    <v>1.1883999999999999</v>
    <v>1.1940999999999999</v>
    <v>1.1948000000000001</v>
    <v>1.1763999999999999</v>
    <v>1.1513</v>
    <v>1.1668000000000001</v>
    <v>1.1714</v>
    <v>1.1747000000000001</v>
    <v>1.1827000000000001</v>
    <v>1.1888000000000001</v>
    <v>1.1909000000000001</v>
    <v>1.1859</v>
    <v>1.1865000000000001</v>
    <v>1.1740999999999999</v>
    <v>1.1671</v>
    <v>1.17</v>
    <v>1.1589</v>
    <v>1.1546000000000001</v>
    <v>1.1528</v>
    <v>1.1438999999999999</v>
    <v>1.1458999999999999</v>
    <v>1.1553</v>
    <v>1.1583000000000001</v>
    <v>1.1539999999999999</v>
    <v>1.1553</v>
    <v>1.1523000000000001</v>
    <v>1.1552</v>
    <v>1.1463000000000001</v>
    <v>1.145</v>
    <v>1.1476</v>
    <v>1.1494</v>
    <v>1.1520999999999999</v>
    <v>1.1447000000000001</v>
    <v>1.1398999999999999</v>
    <v>1.1375</v>
    <v>1.133</v>
    <v>1.1372</v>
    <v>1.1413</v>
    <v>1.1448</v>
    <v>1.1386000000000001</v>
    <v>1.1420999999999999</v>
    <v>1.1462000000000001</v>
    <v>1.1479999999999999</v>
    <v>1.1512</v>
    <v>1.1534</v>
    <v>1.1531</v>
    <v>1.1549</v>
    <v>1.1515</v>
    <v>1.1497999999999999</v>
    <v>1.1442000000000001</v>
    <v>1.1413</v>
    <v>1.1541999999999999</v>
    <v>1.1580999999999999</v>
    <v>1.1527000000000001</v>
    <v>1.1515</v>
    <v>1.145</v>
    <v>1.1482000000000001</v>
    <v>1.1487000000000001</v>
    <v>1.1540999999999999</v>
    <v>1.1577999999999999</v>
    <v>1.1564000000000001</v>
    <v>1.1456999999999999</v>
    <v>1.1571</v>
    <v>1.1541999999999999</v>
  </a>
</arrayData>
</file>

<file path=xl/richData/rdrichvalue.xml><?xml version="1.0" encoding="utf-8"?>
<rvData xmlns="http://schemas.microsoft.com/office/spreadsheetml/2017/richdata" count="196">
  <rv s="0">
    <v>en-IN</v>
    <v>avfjoc</v>
    <v>268435456</v>
    <v>1</v>
    <v>Powered by Refinitiv</v>
    <v>0</v>
    <v>KWD/EUR</v>
    <v>2</v>
    <v>3</v>
    <v>Finance</v>
    <v>4</v>
    <v>2.9024000000000001</v>
    <v>2.7132999999999998</v>
    <v>-2.2000000000000001E-3</v>
    <v>-7.8630000000000008E-4</v>
    <v>EUR</v>
    <v>KWD</v>
    <v>Currency Pair</v>
    <v>46171.875</v>
    <v>Kuwaiti Dinar/Euro FX Cross Rate</v>
    <v>2.7978000000000001</v>
    <v>2.7955999999999999</v>
    <v>KWDEUR</v>
    <v>KWD/EUR</v>
  </rv>
  <rv s="1">
    <v>0</v>
  </rv>
  <rv s="0">
    <v>en-IN</v>
    <v>auyh5r</v>
    <v>268435456</v>
    <v>1</v>
    <v>Powered by Refinitiv</v>
    <v>0</v>
    <v>BHD/EUR</v>
    <v>2</v>
    <v>3</v>
    <v>Finance</v>
    <v>4</v>
    <v>2.3652000000000002</v>
    <v>2.1955</v>
    <v>-1.6999999999999999E-3</v>
    <v>-7.4700000000000005E-4</v>
    <v>EUR</v>
    <v>BHD</v>
    <v>Currency Pair</v>
    <v>46171.875</v>
    <v>Bahraini Dinar/Euro FX Cross Rate</v>
    <v>2.2757999999999998</v>
    <v>2.2740999999999998</v>
    <v>BHDEUR</v>
    <v>BHD/EUR</v>
  </rv>
  <rv s="1">
    <v>2</v>
  </rv>
  <rv s="0">
    <v>en-IN</v>
    <v>avnq7w</v>
    <v>268435456</v>
    <v>1</v>
    <v>Powered by Refinitiv</v>
    <v>0</v>
    <v>OMR/EUR</v>
    <v>2</v>
    <v>3</v>
    <v>Finance</v>
    <v>4</v>
    <v>2.3153000000000001</v>
    <v>2.1501999999999999</v>
    <v>-1.6999999999999999E-3</v>
    <v>-7.6270000000000005E-4</v>
    <v>EUR</v>
    <v>OMR</v>
    <v>Currency Pair</v>
    <v>46171.875</v>
    <v>Omani Rial/Euro FX Cross Rate</v>
    <v>2.2290000000000001</v>
    <v>2.2273000000000001</v>
    <v>OMREUR</v>
    <v>OMR/EUR</v>
  </rv>
  <rv s="1">
    <v>4</v>
  </rv>
  <rv s="0">
    <v>en-IN</v>
    <v>avycmw</v>
    <v>268435456</v>
    <v>1</v>
    <v>Powered by Refinitiv</v>
    <v>0</v>
    <v>GBP/EUR</v>
    <v>2</v>
    <v>3</v>
    <v>Finance</v>
    <v>4</v>
    <v>1.1967000000000001</v>
    <v>1.1274</v>
    <v>5.0000000000000001E-4</v>
    <v>4.3339999999999996E-4</v>
    <v>EUR</v>
    <v>GBP</v>
    <v>Currency Pair</v>
    <v>46171.875</v>
    <v>UK Pound Sterling/Euro FX Cross Rate</v>
    <v>1.1536999999999999</v>
    <v>1.1541999999999999</v>
    <v>GBPEUR</v>
    <v>GBP/EUR</v>
  </rv>
  <rv s="1">
    <v>6</v>
  </rv>
  <rv s="2">
    <v>en-IN</v>
    <v>avec8m</v>
    <v>268435456</v>
    <v>1</v>
    <v>Powered by Refinitiv</v>
    <v>5</v>
    <v>JOD/EUR</v>
    <v>2</v>
    <v>6</v>
    <v>Finance</v>
    <v>4</v>
    <v>1.2563</v>
    <v>1.1658999999999999</v>
    <v>-1E-3</v>
    <v>-8.273E-4</v>
    <v>EUR</v>
    <v>JOD</v>
    <v>1.2078</v>
    <v>Currency Pair</v>
    <v>46171.999849537038</v>
    <v>1.2114</v>
    <v>Jordanian Dinar/Euro FX Cross Rate</v>
    <v>1.2078</v>
    <v>1.2088000000000001</v>
    <v>1.2078</v>
    <v>JODEUR</v>
    <v>JOD/EUR</v>
  </rv>
  <rv s="1">
    <v>8</v>
  </rv>
  <rv s="0">
    <v>en-IN</v>
    <v>avuzw7</v>
    <v>268435456</v>
    <v>1</v>
    <v>Powered by Refinitiv</v>
    <v>0</v>
    <v>CHF/EUR</v>
    <v>2</v>
    <v>3</v>
    <v>Finance</v>
    <v>4</v>
    <v>1.1135999999999999</v>
    <v>1.0567</v>
    <v>3.2000000000000002E-3</v>
    <v>2.9239999999999999E-3</v>
    <v>EUR</v>
    <v>CHF</v>
    <v>Currency Pair</v>
    <v>46171.875</v>
    <v>Swiss Franc/Euro FX Cross Rate</v>
    <v>1.0944</v>
    <v>1.0975999999999999</v>
    <v>CHFEUR</v>
    <v>CHF/EUR</v>
  </rv>
  <rv s="1">
    <v>10</v>
  </rv>
  <rv s="3">
    <fb>45656</fb>
    <v>7</v>
  </rv>
  <rv s="3">
    <fb>1.2048000000000001</fb>
    <v>8</v>
  </rv>
  <rv s="2">
    <v>en-IN</v>
    <v>av4bxm</v>
    <v>268435456</v>
    <v>1</v>
    <v>Powered by Refinitiv</v>
    <v>5</v>
    <v>KYD/EUR</v>
    <v>2</v>
    <v>6</v>
    <v>Finance</v>
    <v>4</v>
    <v>1.0682</v>
    <v>0.98850000000000005</v>
    <v>-8.0000000000000004E-4</v>
    <v>-7.7840000000000006E-4</v>
    <v>EUR</v>
    <v>KYD</v>
    <v>1.0269999999999999</v>
    <v>Currency Pair</v>
    <v>46171.999988425923</v>
    <v>1.0334000000000001</v>
    <v>Cayman Islands Dollar/Euro FX Cross Rate</v>
    <v>1.0269999999999999</v>
    <v>1.0278</v>
    <v>1.0269999999999999</v>
    <v>KYDEUR</v>
    <v>KYD/EUR</v>
  </rv>
  <rv s="1">
    <v>14</v>
  </rv>
  <rv s="3">
    <fb>45663</fb>
    <v>7</v>
  </rv>
  <rv s="3">
    <fb>1.1910000000000001</fb>
    <v>8</v>
  </rv>
  <rv s="0">
    <v>en-IN</v>
    <v>av92z2</v>
    <v>268435456</v>
    <v>1</v>
    <v>Powered by Refinitiv</v>
    <v>0</v>
    <v>EUR/GBP</v>
    <v>2</v>
    <v>9</v>
    <v>Finance</v>
    <v>4</v>
    <v>0.88649999999999995</v>
    <v>0.83479999999999999</v>
    <v>-2.9999999999999997E-4</v>
    <v>-3.4630000000000001E-4</v>
    <v>GBP</v>
    <v>EUR</v>
    <v>Currency Pair</v>
    <v>46171.875</v>
    <v>Euro/UK Pound Sterling FX Cross Rate</v>
    <v>0.86639999999999995</v>
    <v>0.86609999999999998</v>
    <v>EURGBP</v>
    <v>EUR/GBP</v>
  </rv>
  <rv s="1">
    <v>18</v>
  </rv>
  <rv s="3">
    <fb>45670</fb>
    <v>7</v>
  </rv>
  <rv s="3">
    <fb>1.1840999999999999</fb>
    <v>8</v>
  </rv>
  <rv s="0">
    <v>en-IN</v>
    <v>avyn9c</v>
    <v>268435456</v>
    <v>1</v>
    <v>Powered by Refinitiv</v>
    <v>0</v>
    <v>USD/EUR</v>
    <v>2</v>
    <v>3</v>
    <v>Finance</v>
    <v>4</v>
    <v>0.89200000000000002</v>
    <v>0.82779999999999998</v>
    <v>-5.9999999999999995E-4</v>
    <v>-6.9910000000000003E-4</v>
    <v>EUR</v>
    <v>USD</v>
    <v>Currency Pair</v>
    <v>46171.875</v>
    <v>US Dollar/Euro FX Cross Rate</v>
    <v>0.85819999999999996</v>
    <v>0.85760000000000003</v>
    <v>USDEUR</v>
    <v>USD/EUR</v>
  </rv>
  <rv s="1">
    <v>22</v>
  </rv>
  <rv s="3">
    <fb>45677</fb>
    <v>7</v>
  </rv>
  <rv s="3">
    <fb>1.1890000000000001</fb>
    <v>8</v>
  </rv>
  <rv s="2">
    <v>en-IN</v>
    <v>avt78m</v>
    <v>268435456</v>
    <v>1</v>
    <v>Powered by Refinitiv</v>
    <v>5</v>
    <v>SGD/EUR</v>
    <v>2</v>
    <v>6</v>
    <v>Finance</v>
    <v>4</v>
    <v>0.68830000000000002</v>
    <v>0.65710000000000002</v>
    <v>-1E-3</v>
    <v>-1.487E-3</v>
    <v>EUR</v>
    <v>SGD</v>
    <v>0.67149999999999999</v>
    <v>Currency Pair</v>
    <v>46171.875625000001</v>
    <v>0.67200000000000004</v>
    <v>Singapore Dollar/Euro FX Cross Rate</v>
    <v>0.67149999999999999</v>
    <v>0.67249999999999999</v>
    <v>0.67149999999999999</v>
    <v>SGDEUR</v>
    <v>SGD/EUR</v>
  </rv>
  <rv s="1">
    <v>26</v>
  </rv>
  <rv s="3">
    <fb>45684</fb>
    <v>7</v>
  </rv>
  <rv s="3">
    <fb>1.1954</fb>
    <v>8</v>
  </rv>
  <rv s="2">
    <v>en-IN</v>
    <v>av2ia2</v>
    <v>268435456</v>
    <v>1</v>
    <v>Powered by Refinitiv</v>
    <v>5</v>
    <v>BND/EUR</v>
    <v>2</v>
    <v>6</v>
    <v>Finance</v>
    <v>4</v>
    <v>0.68840000000000001</v>
    <v>0.65700000000000003</v>
    <v>-9.5799999999999998E-4</v>
    <v>-1.4249999999999998E-3</v>
    <v>EUR</v>
    <v>BND</v>
    <v>0.67149999999999999</v>
    <v>Currency Pair</v>
    <v>46171.875625000001</v>
    <v>0.67200000000000004</v>
    <v>Bruneian Dollar/Euro FX Cross Rate</v>
    <v>0.67149999999999999</v>
    <v>0.67249999999999999</v>
    <v>0.67149999999999999</v>
    <v>BNDEUR</v>
    <v>BND/EUR</v>
  </rv>
  <rv s="1">
    <v>30</v>
  </rv>
  <rv s="3">
    <fb>45691</fb>
    <v>7</v>
  </rv>
  <rv s="3">
    <fb>1.2015</fb>
    <v>8</v>
  </rv>
  <rv s="0">
    <v>en-IN</v>
    <v>av3ppr</v>
    <v>268435456</v>
    <v>1</v>
    <v>Powered by Refinitiv</v>
    <v>0</v>
    <v>CAD/EUR</v>
    <v>2</v>
    <v>3</v>
    <v>Finance</v>
    <v>4</v>
    <v>0.64349999999999996</v>
    <v>0.60709999999999997</v>
    <v>-8.9999999999999998E-4</v>
    <v>-1.446E-3</v>
    <v>EUR</v>
    <v>CAD</v>
    <v>Currency Pair</v>
    <v>46171.875</v>
    <v>Canadian Dollar/Euro FX Cross Rate</v>
    <v>0.62250000000000005</v>
    <v>0.62160000000000004</v>
    <v>CADEUR</v>
    <v>CAD/EUR</v>
  </rv>
  <rv s="1">
    <v>34</v>
  </rv>
  <rv s="3">
    <fb>45698</fb>
    <v>7</v>
  </rv>
  <rv s="3">
    <fb>1.1991000000000001</fb>
    <v>8</v>
  </rv>
  <rv s="0">
    <v>en-IN</v>
    <v>auxkbh</v>
    <v>268435456</v>
    <v>1</v>
    <v>Powered by Refinitiv</v>
    <v>0</v>
    <v>AUD/EUR</v>
    <v>2</v>
    <v>3</v>
    <v>Finance</v>
    <v>4</v>
    <v>0.62060000000000004</v>
    <v>0.55030000000000001</v>
    <v>1.2999999999999999E-3</v>
    <v>2.1150000000000001E-3</v>
    <v>EUR</v>
    <v>AUD</v>
    <v>Currency Pair</v>
    <v>46171.875</v>
    <v>Australian Dollar/Euro FX Cross Rate</v>
    <v>0.61470000000000002</v>
    <v>0.61599999999999999</v>
    <v>AUDEUR</v>
    <v>AUD/EUR</v>
  </rv>
  <rv s="1">
    <v>38</v>
  </rv>
  <rv s="3">
    <fb>45705</fb>
    <v>7</v>
  </rv>
  <rv s="3">
    <fb>1.2075</fb>
    <v>8</v>
  </rv>
  <rv s="0">
    <v>en-IN</v>
    <v>av2svh</v>
    <v>268435456</v>
    <v>1</v>
    <v>Powered by Refinitiv</v>
    <v>0</v>
    <v>BGN/EUR</v>
    <v>2</v>
    <v>3</v>
    <v>Finance</v>
    <v>4</v>
    <v>0.52059999999999995</v>
    <v>0.50309999999999999</v>
    <v>1.1000000000000001E-3</v>
    <v>2.1510000000000001E-3</v>
    <v>EUR</v>
    <v>BGN</v>
    <v>Currency Pair</v>
    <v>46024.916631944441</v>
    <v>Bulgarian Lev/Euro FX Cross Rate</v>
    <v>0.51129999999999998</v>
    <v>0.51239999999999997</v>
    <v>BGNEUR</v>
    <v>BGN/EUR</v>
  </rv>
  <rv s="1">
    <v>42</v>
  </rv>
  <rv s="3">
    <fb>45712</fb>
    <v>7</v>
  </rv>
  <rv s="3">
    <fb>1.212</fb>
    <v>8</v>
  </rv>
  <rv s="2">
    <v>en-IN</v>
    <v>auxuww</v>
    <v>268435456</v>
    <v>1</v>
    <v>Powered by Refinitiv</v>
    <v>5</v>
    <v>AZN/EUR</v>
    <v>2</v>
    <v>6</v>
    <v>Finance</v>
    <v>4</v>
    <v>0.5232</v>
    <v>0.48110000000000003</v>
    <v>-4.2999999999999999E-4</v>
    <v>-8.5419999999999995E-4</v>
    <v>EUR</v>
    <v>AZN</v>
    <v>0.503</v>
    <v>Currency Pair</v>
    <v>46171.999791666669</v>
    <v>0.50600000000000001</v>
    <v>Azerbaijan Manat/Euro FX Cross Rate</v>
    <v>0.503</v>
    <v>0.50339999999999996</v>
    <v>0.503</v>
    <v>AZNEUR</v>
    <v>AZN/EUR</v>
  </rv>
  <rv s="1">
    <v>46</v>
  </rv>
  <rv s="3">
    <fb>45719</fb>
    <v>7</v>
  </rv>
  <rv s="3">
    <fb>1.1923999999999999</fb>
    <v>8</v>
  </rv>
  <rv s="3">
    <fb>45726</fb>
    <v>7</v>
  </rv>
  <rv s="3">
    <fb>1.1883999999999999</fb>
    <v>8</v>
  </rv>
  <rv s="0">
    <v>en-IN</v>
    <v>avmir7</v>
    <v>268435456</v>
    <v>1</v>
    <v>Powered by Refinitiv</v>
    <v>0</v>
    <v>NZD/EUR</v>
    <v>2</v>
    <v>3</v>
    <v>Finance</v>
    <v>4</v>
    <v>0.53110000000000002</v>
    <v>0.48330000000000001</v>
    <v>4.1999999999999997E-3</v>
    <v>8.2469999999999991E-3</v>
    <v>EUR</v>
    <v>NZD</v>
    <v>Currency Pair</v>
    <v>46171.875</v>
    <v>New Zealand Dollar/Euro FX Cross Rate</v>
    <v>0.50929999999999997</v>
    <v>0.51349999999999996</v>
    <v>NZDEUR</v>
    <v>NZD/EUR</v>
  </rv>
  <rv s="1">
    <v>52</v>
  </rv>
  <rv s="3">
    <fb>45733</fb>
    <v>7</v>
  </rv>
  <rv s="3">
    <fb>1.1940999999999999</fb>
    <v>8</v>
  </rv>
  <rv s="2">
    <v>en-IN</v>
    <v>auzolh</v>
    <v>268435456</v>
    <v>1</v>
    <v>Powered by Refinitiv</v>
    <v>5</v>
    <v>BZD/EUR</v>
    <v>2</v>
    <v>6</v>
    <v>Finance</v>
    <v>4</v>
    <v>0.44219999999999998</v>
    <v>0.40939999999999999</v>
    <v>-2.9999999999999997E-4</v>
    <v>-7.069E-4</v>
    <v>EUR</v>
    <v>BZD</v>
    <v>0.42409999999999998</v>
    <v>Currency Pair</v>
    <v>46171.897314814814</v>
    <v>0.42880000000000001</v>
    <v>Belize Dollar/Euro FX Cross Rate</v>
    <v>0.42409999999999998</v>
    <v>0.4244</v>
    <v>0.42409999999999998</v>
    <v>BZDEUR</v>
    <v>BZD/EUR</v>
  </rv>
  <rv s="1">
    <v>56</v>
  </rv>
  <rv s="3">
    <fb>45740</fb>
    <v>7</v>
  </rv>
  <rv s="3">
    <fb>1.1948000000000001</fb>
    <v>8</v>
  </rv>
  <rv s="2">
    <v>en-IN</v>
    <v>auz3dm</v>
    <v>268435456</v>
    <v>1</v>
    <v>Powered by Refinitiv</v>
    <v>5</v>
    <v>BBD/EUR</v>
    <v>2</v>
    <v>6</v>
    <v>Finance</v>
    <v>4</v>
    <v>0.44030000000000002</v>
    <v>0.4078</v>
    <v>-2.9999999999999997E-4</v>
    <v>-7.0970000000000007E-4</v>
    <v>EUR</v>
    <v>BBD</v>
    <v>0.4224</v>
    <v>Currency Pair</v>
    <v>46171.897268518522</v>
    <v>0.42930000000000001</v>
    <v>Barbadian Dollar/Euro FX Cross Rate</v>
    <v>0.4224</v>
    <v>0.42270000000000002</v>
    <v>0.4224</v>
    <v>BBDEUR</v>
    <v>BBD/EUR</v>
  </rv>
  <rv s="1">
    <v>60</v>
  </rv>
  <rv s="3">
    <fb>45747</fb>
    <v>7</v>
  </rv>
  <rv s="3">
    <fb>1.1763999999999999</fb>
    <v>8</v>
  </rv>
  <rv s="0">
    <v>en-IN</v>
    <v>av96tc</v>
    <v>268435456</v>
    <v>1</v>
    <v>Powered by Refinitiv</v>
    <v>0</v>
    <v>FJD/EUR</v>
    <v>2</v>
    <v>3</v>
    <v>Finance</v>
    <v>4</v>
    <v>0.38950000000000001</v>
    <v>0.36380000000000001</v>
    <v>-2.9999999999999997E-4</v>
    <v>-7.8270000000000011E-4</v>
    <v>EUR</v>
    <v>FJD</v>
    <v>Currency Pair</v>
    <v>46171.875</v>
    <v>Fiji Dollar/Euro FX Cross Rate</v>
    <v>0.38329999999999997</v>
    <v>0.38300000000000001</v>
    <v>FJDEUR</v>
    <v>FJD/EUR</v>
  </rv>
  <rv s="1">
    <v>64</v>
  </rv>
  <rv s="3">
    <fb>45754</fb>
    <v>7</v>
  </rv>
  <rv s="3">
    <fb>1.1513</fb>
    <v>8</v>
  </rv>
  <rv s="0">
    <v>en-IN</v>
    <v>av9s27</v>
    <v>268435456</v>
    <v>1</v>
    <v>Powered by Refinitiv</v>
    <v>0</v>
    <v>GEL/EUR</v>
    <v>2</v>
    <v>3</v>
    <v>Finance</v>
    <v>4</v>
    <v>0.33</v>
    <v>0.3</v>
    <v>0</v>
    <v>0</v>
    <v>EUR</v>
    <v>GEL</v>
    <v>Currency Pair</v>
    <v>46171.875</v>
    <v>Georgian Lari/Euro FX Cross Rate</v>
    <v>0.32</v>
    <v>0.32</v>
    <v>GELEUR</v>
    <v>GEL/EUR</v>
  </rv>
  <rv s="1">
    <v>68</v>
  </rv>
  <rv s="3">
    <fb>45761</fb>
    <v>7</v>
  </rv>
  <rv s="3">
    <fb>1.1668000000000001</fb>
    <v>8</v>
  </rv>
  <rv s="2">
    <v>en-IN</v>
    <v>b1f6im</v>
    <v>268435456</v>
    <v>1</v>
    <v>Powered by Refinitiv</v>
    <v>5</v>
    <v>XCD/EUR</v>
    <v>2</v>
    <v>6</v>
    <v>Finance</v>
    <v>4</v>
    <v>0.32790000000000002</v>
    <v>0.30430000000000001</v>
    <v>-2.0000000000000001E-4</v>
    <v>-6.3390000000000007E-4</v>
    <v>EUR</v>
    <v>XCD</v>
    <v>0.31530000000000002</v>
    <v>Currency Pair</v>
    <v>46171.999930555554</v>
    <v>0.31879999999999997</v>
    <v>East Caribbean Dollar/Euro FX Cross Rate</v>
    <v>0.31530000000000002</v>
    <v>0.3155</v>
    <v>0.31530000000000002</v>
    <v>XCDEUR</v>
    <v>XCD/EUR</v>
  </rv>
  <rv s="1">
    <v>72</v>
  </rv>
  <rv s="3">
    <fb>45768</fb>
    <v>7</v>
  </rv>
  <rv s="3">
    <fb>1.1714</fb>
    <v>8</v>
  </rv>
  <rv s="0">
    <v>en-IN</v>
    <v>avq64c</v>
    <v>268435456</v>
    <v>1</v>
    <v>Powered by Refinitiv</v>
    <v>0</v>
    <v>QAR/EUR</v>
    <v>2</v>
    <v>3</v>
    <v>Finance</v>
    <v>4</v>
    <v>0.24399999999999999</v>
    <v>0.2271</v>
    <v>-1E-4</v>
    <v>-4.2500000000000003E-4</v>
    <v>EUR</v>
    <v>QAR</v>
    <v>Currency Pair</v>
    <v>46171.875</v>
    <v>Qatar Rial/Euro FX Cross Rate</v>
    <v>0.23530000000000001</v>
    <v>0.23519999999999999</v>
    <v>QAREUR</v>
    <v>QAR/EUR</v>
  </rv>
  <rv s="1">
    <v>76</v>
  </rv>
  <rv s="3">
    <fb>45775</fb>
    <v>7</v>
  </rv>
  <rv s="3">
    <fb>1.1747000000000001</fb>
    <v>8</v>
  </rv>
  <rv s="0">
    <v>en-IN</v>
    <v>avy21h</v>
    <v>268435456</v>
    <v>1</v>
    <v>Powered by Refinitiv</v>
    <v>0</v>
    <v>AED/EUR</v>
    <v>2</v>
    <v>3</v>
    <v>Finance</v>
    <v>4</v>
    <v>0.24279999999999999</v>
    <v>0.22539999999999999</v>
    <v>-1.4999999999999999E-4</v>
    <v>-6.4210000000000005E-4</v>
    <v>EUR</v>
    <v>AED</v>
    <v>Currency Pair</v>
    <v>46171.875</v>
    <v>UAE Dirham/Euro FX Cross Rate</v>
    <v>0.2336</v>
    <v>0.23350000000000001</v>
    <v>AEDEUR</v>
    <v>AED/EUR</v>
  </rv>
  <rv s="1">
    <v>80</v>
  </rv>
  <rv s="3">
    <fb>45782</fb>
    <v>7</v>
  </rv>
  <rv s="3">
    <fb>1.1827000000000001</fb>
    <v>8</v>
  </rv>
  <rv s="2">
    <v>en-IN</v>
    <v>avryrw</v>
    <v>268435456</v>
    <v>1</v>
    <v>Powered by Refinitiv</v>
    <v>5</v>
    <v>SAR/EUR</v>
    <v>2</v>
    <v>6</v>
    <v>Finance</v>
    <v>4</v>
    <v>0.23780000000000001</v>
    <v>0.2208</v>
    <v>-2.0000000000000001E-4</v>
    <v>-8.7449999999999995E-4</v>
    <v>EUR</v>
    <v>SAR</v>
    <v>0.22850000000000001</v>
    <v>Currency Pair</v>
    <v>46172.499942129631</v>
    <v>0.2286</v>
    <v>Saudi Arabian Riyal/Euro FX Cross Rate</v>
    <v>0.22850000000000001</v>
    <v>0.22869999999999999</v>
    <v>0.22850000000000001</v>
    <v>SAREUR</v>
    <v>SAR/EUR</v>
  </rv>
  <rv s="1">
    <v>84</v>
  </rv>
  <rv s="3">
    <fb>45789</fb>
    <v>7</v>
  </rv>
  <rv s="3">
    <fb>1.1888000000000001</fb>
    <v>8</v>
  </rv>
  <rv s="0">
    <v>en-IN</v>
    <v>avj71h</v>
    <v>268435456</v>
    <v>1</v>
    <v>Powered by Refinitiv</v>
    <v>0</v>
    <v>MYR/EUR</v>
    <v>2</v>
    <v>3</v>
    <v>Finance</v>
    <v>4</v>
    <v>0.2228</v>
    <v>0.19989999999999999</v>
    <v>5.6999999999999998E-4</v>
    <v>2.6440000000000001E-3</v>
    <v>EUR</v>
    <v>MYR</v>
    <v>Currency Pair</v>
    <v>46171.875</v>
    <v>Malaysian Ringgit/Euro FX Cross Rate</v>
    <v>0.21560000000000001</v>
    <v>0.2162</v>
    <v>MYREUR</v>
    <v>MYR/EUR</v>
  </rv>
  <rv s="1">
    <v>88</v>
  </rv>
  <rv s="3">
    <fb>45796</fb>
    <v>7</v>
  </rv>
  <rv s="3">
    <fb>1.1909000000000001</fb>
    <v>8</v>
  </rv>
  <rv s="0">
    <v>en-IN</v>
    <v>av4x6h</v>
    <v>268435456</v>
    <v>1</v>
    <v>Powered by Refinitiv</v>
    <v>0</v>
    <v>CNY/EUR</v>
    <v>2</v>
    <v>3</v>
    <v>Finance</v>
    <v>4</v>
    <v>0.12720000000000001</v>
    <v>0.11799999999999999</v>
    <v>1.3999999999999999E-4</v>
    <v>1.106E-3</v>
    <v>EUR</v>
    <v>CNY</v>
    <v>Currency Pair</v>
    <v>46171.875</v>
    <v>Chinese Renminbi/Euro FX Cross Rate</v>
    <v>0.12659999999999999</v>
    <v>0.12670000000000001</v>
    <v>CNYEUR</v>
    <v>CNY/EUR</v>
  </rv>
  <rv s="1">
    <v>92</v>
  </rv>
  <rv s="3">
    <fb>45803</fb>
    <v>7</v>
  </rv>
  <rv s="3">
    <fb>1.1859</fb>
    <v>8</v>
  </rv>
  <rv s="3">
    <fb>45810</fb>
    <v>7</v>
  </rv>
  <rv s="3">
    <fb>1.1865000000000001</fb>
    <v>8</v>
  </rv>
  <rv s="3">
    <fb>45817</fb>
    <v>7</v>
  </rv>
  <rv s="3">
    <fb>1.1740999999999999</fb>
    <v>8</v>
  </rv>
  <rv s="3">
    <fb>45824</fb>
    <v>7</v>
  </rv>
  <rv s="3">
    <fb>1.1671</fb>
    <v>8</v>
  </rv>
  <rv s="3">
    <fb>45831</fb>
    <v>7</v>
  </rv>
  <rv s="3">
    <fb>1.17</fb>
    <v>8</v>
  </rv>
  <rv s="3">
    <fb>45838</fb>
    <v>7</v>
  </rv>
  <rv s="3">
    <fb>1.1589</fb>
    <v>8</v>
  </rv>
  <rv s="3">
    <fb>45845</fb>
    <v>7</v>
  </rv>
  <rv s="3">
    <fb>1.1546000000000001</fb>
    <v>8</v>
  </rv>
  <rv s="3">
    <fb>45852</fb>
    <v>7</v>
  </rv>
  <rv s="3">
    <fb>1.1528</fb>
    <v>8</v>
  </rv>
  <rv s="3">
    <fb>45859</fb>
    <v>7</v>
  </rv>
  <rv s="3">
    <fb>1.1438999999999999</fb>
    <v>8</v>
  </rv>
  <rv s="3">
    <fb>45866</fb>
    <v>7</v>
  </rv>
  <rv s="3">
    <fb>1.1458999999999999</fb>
    <v>8</v>
  </rv>
  <rv s="3">
    <fb>45873</fb>
    <v>7</v>
  </rv>
  <rv s="3">
    <fb>1.1553</fb>
    <v>8</v>
  </rv>
  <rv s="3">
    <fb>45880</fb>
    <v>7</v>
  </rv>
  <rv s="3">
    <fb>1.1583000000000001</fb>
    <v>8</v>
  </rv>
  <rv s="3">
    <fb>45887</fb>
    <v>7</v>
  </rv>
  <rv s="3">
    <fb>1.1539999999999999</fb>
    <v>8</v>
  </rv>
  <rv s="3">
    <fb>45894</fb>
    <v>7</v>
  </rv>
  <rv s="3">
    <fb>45901</fb>
    <v>7</v>
  </rv>
  <rv s="3">
    <fb>1.1523000000000001</fb>
    <v>8</v>
  </rv>
  <rv s="3">
    <fb>45908</fb>
    <v>7</v>
  </rv>
  <rv s="3">
    <fb>1.1552</fb>
    <v>8</v>
  </rv>
  <rv s="3">
    <fb>45915</fb>
    <v>7</v>
  </rv>
  <rv s="3">
    <fb>1.1463000000000001</fb>
    <v>8</v>
  </rv>
  <rv s="3">
    <fb>45922</fb>
    <v>7</v>
  </rv>
  <rv s="3">
    <fb>1.145</fb>
    <v>8</v>
  </rv>
  <rv s="3">
    <fb>45929</fb>
    <v>7</v>
  </rv>
  <rv s="3">
    <fb>1.1476</fb>
    <v>8</v>
  </rv>
  <rv s="3">
    <fb>45936</fb>
    <v>7</v>
  </rv>
  <rv s="3">
    <fb>1.1494</fb>
    <v>8</v>
  </rv>
  <rv s="3">
    <fb>45943</fb>
    <v>7</v>
  </rv>
  <rv s="3">
    <fb>1.1520999999999999</fb>
    <v>8</v>
  </rv>
  <rv s="3">
    <fb>45950</fb>
    <v>7</v>
  </rv>
  <rv s="3">
    <fb>1.1447000000000001</fb>
    <v>8</v>
  </rv>
  <rv s="3">
    <fb>45957</fb>
    <v>7</v>
  </rv>
  <rv s="3">
    <fb>1.1398999999999999</fb>
    <v>8</v>
  </rv>
  <rv s="3">
    <fb>45964</fb>
    <v>7</v>
  </rv>
  <rv s="3">
    <fb>1.1375</fb>
    <v>8</v>
  </rv>
  <rv s="3">
    <fb>45971</fb>
    <v>7</v>
  </rv>
  <rv s="3">
    <fb>1.133</fb>
    <v>8</v>
  </rv>
  <rv s="3">
    <fb>45978</fb>
    <v>7</v>
  </rv>
  <rv s="3">
    <fb>1.1372</fb>
    <v>8</v>
  </rv>
  <rv s="3">
    <fb>45985</fb>
    <v>7</v>
  </rv>
  <rv s="3">
    <fb>1.1413</fb>
    <v>8</v>
  </rv>
  <rv s="3">
    <fb>45992</fb>
    <v>7</v>
  </rv>
  <rv s="3">
    <fb>1.1448</fb>
    <v>8</v>
  </rv>
  <rv s="3">
    <fb>45999</fb>
    <v>7</v>
  </rv>
  <rv s="3">
    <fb>1.1386000000000001</fb>
    <v>8</v>
  </rv>
  <rv s="3">
    <fb>46006</fb>
    <v>7</v>
  </rv>
  <rv s="3">
    <fb>1.1420999999999999</fb>
    <v>8</v>
  </rv>
  <rv s="3">
    <fb>46013</fb>
    <v>7</v>
  </rv>
  <rv s="3">
    <fb>1.1462000000000001</fb>
    <v>8</v>
  </rv>
  <rv s="3">
    <fb>46020</fb>
    <v>7</v>
  </rv>
  <rv s="3">
    <fb>1.1479999999999999</fb>
    <v>8</v>
  </rv>
  <rv s="3">
    <fb>46027</fb>
    <v>7</v>
  </rv>
  <rv s="3">
    <fb>1.1512</fb>
    <v>8</v>
  </rv>
  <rv s="3">
    <fb>46034</fb>
    <v>7</v>
  </rv>
  <rv s="3">
    <fb>1.1534</fb>
    <v>8</v>
  </rv>
  <rv s="3">
    <fb>46041</fb>
    <v>7</v>
  </rv>
  <rv s="3">
    <fb>1.1531</fb>
    <v>8</v>
  </rv>
  <rv s="3">
    <fb>46048</fb>
    <v>7</v>
  </rv>
  <rv s="3">
    <fb>1.1549</fb>
    <v>8</v>
  </rv>
  <rv s="3">
    <fb>46055</fb>
    <v>7</v>
  </rv>
  <rv s="3">
    <fb>1.1515</fb>
    <v>8</v>
  </rv>
  <rv s="3">
    <fb>46062</fb>
    <v>7</v>
  </rv>
  <rv s="3">
    <fb>1.1497999999999999</fb>
    <v>8</v>
  </rv>
  <rv s="3">
    <fb>46069</fb>
    <v>7</v>
  </rv>
  <rv s="3">
    <fb>1.1442000000000001</fb>
    <v>8</v>
  </rv>
  <rv s="3">
    <fb>46076</fb>
    <v>7</v>
  </rv>
  <rv s="3">
    <fb>46083</fb>
    <v>7</v>
  </rv>
  <rv s="3">
    <fb>1.1541999999999999</fb>
    <v>8</v>
  </rv>
  <rv s="3">
    <fb>46090</fb>
    <v>7</v>
  </rv>
  <rv s="3">
    <fb>1.1580999999999999</fb>
    <v>8</v>
  </rv>
  <rv s="3">
    <fb>46097</fb>
    <v>7</v>
  </rv>
  <rv s="3">
    <fb>1.1527000000000001</fb>
    <v>8</v>
  </rv>
  <rv s="3">
    <fb>46104</fb>
    <v>7</v>
  </rv>
  <rv s="3">
    <fb>46111</fb>
    <v>7</v>
  </rv>
  <rv s="3">
    <fb>46118</fb>
    <v>7</v>
  </rv>
  <rv s="3">
    <fb>1.1482000000000001</fb>
    <v>8</v>
  </rv>
  <rv s="3">
    <fb>46125</fb>
    <v>7</v>
  </rv>
  <rv s="3">
    <fb>1.1487000000000001</fb>
    <v>8</v>
  </rv>
  <rv s="3">
    <fb>46132</fb>
    <v>7</v>
  </rv>
  <rv s="3">
    <fb>1.1540999999999999</fb>
    <v>8</v>
  </rv>
  <rv s="3">
    <fb>46139</fb>
    <v>7</v>
  </rv>
  <rv s="3">
    <fb>1.1577999999999999</fb>
    <v>8</v>
  </rv>
  <rv s="3">
    <fb>46146</fb>
    <v>7</v>
  </rv>
  <rv s="3">
    <fb>1.1564000000000001</fb>
    <v>8</v>
  </rv>
  <rv s="3">
    <fb>46153</fb>
    <v>7</v>
  </rv>
  <rv s="3">
    <fb>1.1456999999999999</fb>
    <v>8</v>
  </rv>
  <rv s="3">
    <fb>46160</fb>
    <v>7</v>
  </rv>
  <rv s="3">
    <fb>1.1571</fb>
    <v>8</v>
  </rv>
  <rv s="3">
    <fb>46167</fb>
    <v>7</v>
  </rv>
  <rv s="4">
    <v>10</v>
    <v>avycmw</v>
    <v>Weekly</v>
    <v>45655</v>
    <v>46172</v>
    <v>0</v>
    <v>1</v>
    <v>639156096000000000,639157538273408183,0</v>
    <v>0</v>
    <v>avycmw</v>
    <v>GBPEUR</v>
    <v>1</v>
  </rv>
</rvData>
</file>

<file path=xl/richData/rdrichvaluestructure.xml><?xml version="1.0" encoding="utf-8"?>
<rvStructures xmlns="http://schemas.microsoft.com/office/spreadsheetml/2017/richdata" count="5">
  <s t="_linkedentitycore">
    <k n="%EntityCulture" t="s"/>
    <k n="%EntityId" t="s"/>
    <k n="%EntityServiceId"/>
    <k n="%IsRefreshable" t="b"/>
    <k n="%ProviderInfo" t="s"/>
    <k n="_Display" t="spb"/>
    <k n="_DisplayString" t="s"/>
    <k n="_Flags" t="spb"/>
    <k n="_Format" t="spb"/>
    <k n="_Icon" t="s"/>
    <k n="_SubLabel" t="spb"/>
    <k n="52 week high"/>
    <k n="52 week low"/>
    <k n="Change"/>
    <k n="Change (%)"/>
    <k n="Currency" t="s"/>
    <k n="From currency" t="s"/>
    <k n="Instrument type" t="s"/>
    <k n="Last trade time"/>
    <k n="Name" t="s"/>
    <k n="Previous close"/>
    <k n="Price"/>
    <k n="Ticker symbol" t="s"/>
    <k n="UniqueName" t="s"/>
  </s>
  <s t="_linkedentity">
    <k n="%cvi" t="r"/>
  </s>
  <s t="_linkedentitycore">
    <k n="%EntityCulture" t="s"/>
    <k n="%EntityId" t="s"/>
    <k n="%EntityServiceId"/>
    <k n="%IsRefreshable" t="b"/>
    <k n="%ProviderInfo" t="s"/>
    <k n="_Display" t="spb"/>
    <k n="_DisplayString" t="s"/>
    <k n="_Flags" t="spb"/>
    <k n="_Format" t="spb"/>
    <k n="_Icon" t="s"/>
    <k n="_SubLabel" t="spb"/>
    <k n="52 week high"/>
    <k n="52 week low"/>
    <k n="Change"/>
    <k n="Change (%)"/>
    <k n="Currency" t="s"/>
    <k n="From currency" t="s"/>
    <k n="High"/>
    <k n="Instrument type" t="s"/>
    <k n="Last trade time"/>
    <k n="Low"/>
    <k n="Name" t="s"/>
    <k n="Open"/>
    <k n="Previous close"/>
    <k n="Price"/>
    <k n="Ticker symbol" t="s"/>
    <k n="UniqueName" t="s"/>
  </s>
  <s t="_formattednumber">
    <k n="_Format" t="spb"/>
  </s>
  <s t="_stockhistorycache">
    <k n="_Format" t="spb"/>
    <k n="Symbol" t="s"/>
    <k n="Interval" t="s"/>
    <k n="StartDate" t="i"/>
    <k n="EndDate" t="i"/>
    <k n="f1904" t="b"/>
    <k n="fdcompat" t="b"/>
    <k n="etag" t="s"/>
    <k n="Date" t="a"/>
    <k n="EntityId" t="s"/>
    <k n="Instrument" t="s"/>
    <k n="Close" t="a"/>
  </s>
</rvStructures>
</file>

<file path=xl/richData/rdsupportingpropertybag.xml><?xml version="1.0" encoding="utf-8"?>
<supportingPropertyBags xmlns="http://schemas.microsoft.com/office/spreadsheetml/2017/richdata2">
  <spbArrays count="2">
    <a count="24">
      <v t="s">%EntityServiceId</v>
      <v t="s">_Format</v>
      <v t="s">%IsRefreshable</v>
      <v t="s">%EntityCulture</v>
      <v t="s">%EntityId</v>
      <v t="s">_Icon</v>
      <v t="s">_Display</v>
      <v t="s">Name</v>
      <v t="s">Price</v>
      <v t="s">_SubLabel</v>
      <v t="s">Last trade time</v>
      <v t="s">Ticker symbol</v>
      <v t="s">Change</v>
      <v t="s">Change (%)</v>
      <v t="s">Currency</v>
      <v t="s">From currency</v>
      <v t="s">Previous close</v>
      <v t="s">52 week high</v>
      <v t="s">52 week low</v>
      <v t="s">Instrument type</v>
      <v t="s">_Flags</v>
      <v t="s">UniqueName</v>
      <v t="s">_DisplayString</v>
      <v t="s">%ProviderInfo</v>
    </a>
    <a count="27">
      <v t="s">%EntityServiceId</v>
      <v t="s">_Format</v>
      <v t="s">%IsRefreshable</v>
      <v t="s">%EntityCulture</v>
      <v t="s">%EntityId</v>
      <v t="s">_Icon</v>
      <v t="s">_Display</v>
      <v t="s">Name</v>
      <v t="s">Price</v>
      <v t="s">_SubLabel</v>
      <v t="s">Last trade time</v>
      <v t="s">Ticker symbol</v>
      <v t="s">Change</v>
      <v t="s">Change (%)</v>
      <v t="s">Currency</v>
      <v t="s">From currency</v>
      <v t="s">Previous close</v>
      <v t="s">Open</v>
      <v t="s">High</v>
      <v t="s">Low</v>
      <v t="s">52 week high</v>
      <v t="s">52 week low</v>
      <v t="s">Instrument type</v>
      <v t="s">_Flags</v>
      <v t="s">UniqueName</v>
      <v t="s">_DisplayString</v>
      <v t="s">%ProviderInfo</v>
    </a>
  </spbArrays>
  <spbData count="11">
    <spb s="0">
      <v>0</v>
      <v>Name</v>
    </spb>
    <spb s="1">
      <v>0</v>
      <v>0</v>
      <v>0</v>
    </spb>
    <spb s="2">
      <v>1</v>
      <v>1</v>
    </spb>
    <spb s="3">
      <v>1</v>
      <v>2</v>
      <v>2</v>
      <v>3</v>
      <v>2</v>
      <v>2</v>
      <v>2</v>
      <v>4</v>
      <v>5</v>
    </spb>
    <spb s="4">
      <v>GMT</v>
    </spb>
    <spb s="0">
      <v>1</v>
      <v>Name</v>
    </spb>
    <spb s="5">
      <v>2</v>
      <v>2</v>
      <v>1</v>
      <v>2</v>
      <v>2</v>
      <v>2</v>
      <v>3</v>
      <v>2</v>
      <v>2</v>
      <v>2</v>
      <v>4</v>
      <v>5</v>
    </spb>
    <spb s="6">
      <v>6</v>
    </spb>
    <spb s="6">
      <v>2</v>
    </spb>
    <spb s="3">
      <v>1</v>
      <v>7</v>
      <v>7</v>
      <v>3</v>
      <v>7</v>
      <v>7</v>
      <v>7</v>
      <v>4</v>
      <v>5</v>
    </spb>
    <spb s="7">
      <v>6</v>
      <v>2</v>
    </spb>
  </spbData>
</supportingPropertyBags>
</file>

<file path=xl/richData/rdsupportingpropertybagstructure.xml><?xml version="1.0" encoding="utf-8"?>
<spbStructures xmlns="http://schemas.microsoft.com/office/spreadsheetml/2017/richdata2" count="8">
  <s>
    <k n="^Order" t="spba"/>
    <k n="TitleProperty" t="s"/>
  </s>
  <s>
    <k n="ShowInCardView" t="b"/>
    <k n="ShowInDotNotation" t="b"/>
    <k n="ShowInAutoComplete" t="b"/>
  </s>
  <s>
    <k n="UniqueName" t="spb"/>
    <k n="`%ProviderInfo" t="spb"/>
  </s>
  <s>
    <k n="Name" t="i"/>
    <k n="Price" t="i"/>
    <k n="Change" t="i"/>
    <k n="Change (%)" t="i"/>
    <k n="52 week low" t="i"/>
    <k n="52 week high" t="i"/>
    <k n="Previous close" t="i"/>
    <k n="Last trade time" t="i"/>
    <k n="`%EntityServiceId" t="i"/>
  </s>
  <s>
    <k n="Last trade time" t="s"/>
  </s>
  <s>
    <k n="Low" t="i"/>
    <k n="High" t="i"/>
    <k n="Name" t="i"/>
    <k n="Open" t="i"/>
    <k n="Price" t="i"/>
    <k n="Change" t="i"/>
    <k n="Change (%)" t="i"/>
    <k n="52 week low" t="i"/>
    <k n="52 week high" t="i"/>
    <k n="Previous close" t="i"/>
    <k n="Last trade time" t="i"/>
    <k n="`%EntityServiceId" t="i"/>
  </s>
  <s>
    <k n="_Self" t="i"/>
  </s>
  <s>
    <k n="Date" t="i"/>
    <k n="Close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5">
    <x:dxf>
      <x:numFmt numFmtId="2" formatCode="0.00"/>
    </x:dxf>
    <x:dxf>
      <x:numFmt numFmtId="0" formatCode="General"/>
    </x:dxf>
    <x:dxf>
      <x:numFmt numFmtId="27" formatCode="dd/mm/yyyy\ hh:mm"/>
    </x:dxf>
    <x:dxf>
      <x:numFmt numFmtId="14" formatCode="0.00%"/>
    </x:dxf>
    <x:dxf>
      <x:numFmt numFmtId="19" formatCode="dd/mm/yyyy"/>
    </x:dxf>
  </dxfs>
  <richProperties>
    <rPr n="IsTitleField" t="b"/>
    <rPr n="NumberFormat" t="s"/>
  </richProperties>
  <richStyles>
    <rSty>
      <rpv i="0">1</rpv>
    </rSty>
    <rSty dxfid="1">
      <rpv i="1">_([$€-x-euro2] * #,##0.00_);_([$€-x-euro2] * (#,##0.00);_([$€-x-euro2] * "-"??_);_(@_)</rpv>
    </rSty>
    <rSty dxfid="3"/>
    <rSty dxfid="2"/>
    <rSty dxfid="0">
      <rpv i="1">0.00</rpv>
    </rSty>
    <rSty dxfid="4"/>
    <rSty dxfid="1">
      <rpv i="1">_-[$£-en-GB]* #,##0.00_-;-[$£-en-GB]* #,##0.00_-;_-[$£-en-GB]* "-"??_-;_-@_-</rpv>
    </rSty>
  </richStyles>
</rich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43399-D0FB-4760-A4E0-218A592D7C6D}">
  <dimension ref="B1:X83"/>
  <sheetViews>
    <sheetView showGridLines="0" tabSelected="1" zoomScale="66" zoomScaleNormal="76" workbookViewId="0">
      <selection activeCell="N7" sqref="N7"/>
    </sheetView>
  </sheetViews>
  <sheetFormatPr defaultRowHeight="14.5" x14ac:dyDescent="0.35"/>
  <cols>
    <col min="2" max="2" width="3.81640625" customWidth="1"/>
    <col min="3" max="3" width="24.36328125" bestFit="1" customWidth="1"/>
    <col min="5" max="5" width="10.81640625" bestFit="1" customWidth="1"/>
    <col min="10" max="10" width="11.7265625" bestFit="1" customWidth="1"/>
    <col min="11" max="11" width="3.81640625" customWidth="1"/>
    <col min="13" max="13" width="9.90625" style="18" bestFit="1" customWidth="1"/>
    <col min="14" max="14" width="13.54296875" style="18" customWidth="1"/>
    <col min="15" max="15" width="12.6328125" style="18" customWidth="1"/>
  </cols>
  <sheetData>
    <row r="1" spans="2:24" x14ac:dyDescent="0.35">
      <c r="M1"/>
      <c r="N1"/>
      <c r="O1"/>
    </row>
    <row r="2" spans="2:24" ht="15" thickBot="1" x14ac:dyDescent="0.4">
      <c r="M2"/>
      <c r="N2"/>
      <c r="O2"/>
    </row>
    <row r="3" spans="2:24" x14ac:dyDescent="0.35">
      <c r="B3" s="3"/>
      <c r="C3" s="4"/>
      <c r="D3" s="4"/>
      <c r="E3" s="4"/>
      <c r="F3" s="4"/>
      <c r="G3" s="4"/>
      <c r="H3" s="4"/>
      <c r="I3" s="4"/>
      <c r="J3" s="4"/>
      <c r="K3" s="5"/>
      <c r="M3" s="3"/>
      <c r="N3" s="4"/>
      <c r="O3" s="4"/>
      <c r="P3" s="4"/>
      <c r="Q3" s="4"/>
      <c r="R3" s="4"/>
      <c r="S3" s="4"/>
      <c r="T3" s="4"/>
      <c r="U3" s="4"/>
      <c r="V3" s="4"/>
      <c r="W3" s="4"/>
      <c r="X3" s="5"/>
    </row>
    <row r="4" spans="2:24" ht="15" thickBot="1" x14ac:dyDescent="0.4">
      <c r="B4" s="6"/>
      <c r="C4" s="11" t="s">
        <v>0</v>
      </c>
      <c r="D4" s="11" t="s">
        <v>28</v>
      </c>
      <c r="E4" s="11" t="s">
        <v>55</v>
      </c>
      <c r="F4" s="11" t="s">
        <v>56</v>
      </c>
      <c r="G4" s="11" t="s">
        <v>57</v>
      </c>
      <c r="H4" s="11" t="s">
        <v>58</v>
      </c>
      <c r="I4" s="11" t="s">
        <v>59</v>
      </c>
      <c r="J4" s="11" t="s">
        <v>60</v>
      </c>
      <c r="K4" s="7"/>
      <c r="M4" s="6"/>
      <c r="N4"/>
      <c r="O4"/>
      <c r="X4" s="7"/>
    </row>
    <row r="5" spans="2:24" x14ac:dyDescent="0.35">
      <c r="B5" s="6"/>
      <c r="C5" t="s">
        <v>1</v>
      </c>
      <c r="D5" t="s">
        <v>29</v>
      </c>
      <c r="E5" t="e" vm="1">
        <v>#VALUE!</v>
      </c>
      <c r="F5" s="1" cm="1">
        <f t="array" aca="1" ref="F5" ca="1">_FV(E5,"Price")</f>
        <v>2.7955999999999999</v>
      </c>
      <c r="G5" s="1" cm="1">
        <f t="array" aca="1" ref="G5" ca="1">_FV(E5,"52 week high",TRUE)</f>
        <v>2.9024000000000001</v>
      </c>
      <c r="H5" s="1" cm="1">
        <f t="array" aca="1" ref="H5" ca="1">_FV(E5,"52 week low",TRUE)</f>
        <v>2.7132999999999998</v>
      </c>
      <c r="I5" s="2" cm="1">
        <f t="array" aca="1" ref="I5" ca="1">_FV(E5,"Change (%)",TRUE)</f>
        <v>-7.8630000000000008E-4</v>
      </c>
      <c r="J5" t="s">
        <v>61</v>
      </c>
      <c r="K5" s="7"/>
      <c r="M5" s="14" t="s">
        <v>62</v>
      </c>
      <c r="N5" s="12">
        <v>45658</v>
      </c>
      <c r="O5"/>
      <c r="X5" s="7"/>
    </row>
    <row r="6" spans="2:24" x14ac:dyDescent="0.35">
      <c r="B6" s="6"/>
      <c r="C6" t="s">
        <v>2</v>
      </c>
      <c r="D6" t="s">
        <v>30</v>
      </c>
      <c r="E6" t="e" vm="2">
        <v>#VALUE!</v>
      </c>
      <c r="F6" s="1" cm="1">
        <f t="array" aca="1" ref="F6" ca="1">_FV(E6,"Price")</f>
        <v>2.2740999999999998</v>
      </c>
      <c r="G6" s="1" cm="1">
        <f t="array" aca="1" ref="G6" ca="1">_FV(E6,"52 week high",TRUE)</f>
        <v>2.3652000000000002</v>
      </c>
      <c r="H6" s="1" cm="1">
        <f t="array" aca="1" ref="H6" ca="1">_FV(E6,"52 week low",TRUE)</f>
        <v>2.1955</v>
      </c>
      <c r="I6" s="2" cm="1">
        <f t="array" aca="1" ref="I6" ca="1">_FV(E6,"Change (%)",TRUE)</f>
        <v>-7.4700000000000005E-4</v>
      </c>
      <c r="J6" t="s">
        <v>61</v>
      </c>
      <c r="K6" s="7"/>
      <c r="M6" s="15" t="s">
        <v>63</v>
      </c>
      <c r="N6" s="13">
        <f ca="1">TODAY()</f>
        <v>46172</v>
      </c>
      <c r="O6"/>
      <c r="X6" s="7"/>
    </row>
    <row r="7" spans="2:24" ht="15" thickBot="1" x14ac:dyDescent="0.4">
      <c r="B7" s="6"/>
      <c r="C7" t="s">
        <v>3</v>
      </c>
      <c r="D7" t="s">
        <v>32</v>
      </c>
      <c r="E7" t="e" vm="3">
        <v>#VALUE!</v>
      </c>
      <c r="F7" s="1" cm="1">
        <f t="array" aca="1" ref="F7" ca="1">_FV(E7,"Price")</f>
        <v>2.2273000000000001</v>
      </c>
      <c r="G7" s="1" cm="1">
        <f t="array" aca="1" ref="G7" ca="1">_FV(E7,"52 week high",TRUE)</f>
        <v>2.3153000000000001</v>
      </c>
      <c r="H7" s="1" cm="1">
        <f t="array" aca="1" ref="H7" ca="1">_FV(E7,"52 week low",TRUE)</f>
        <v>2.1501999999999999</v>
      </c>
      <c r="I7" s="2" cm="1">
        <f t="array" aca="1" ref="I7" ca="1">_FV(E7,"Change (%)",TRUE)</f>
        <v>-7.6270000000000005E-4</v>
      </c>
      <c r="J7" t="s">
        <v>61</v>
      </c>
      <c r="K7" s="7"/>
      <c r="M7" s="16" t="s">
        <v>64</v>
      </c>
      <c r="N7" s="10" t="e" vm="4">
        <v>#VALUE!</v>
      </c>
      <c r="O7"/>
      <c r="X7" s="7"/>
    </row>
    <row r="8" spans="2:24" x14ac:dyDescent="0.35">
      <c r="B8" s="6"/>
      <c r="C8" t="s">
        <v>4</v>
      </c>
      <c r="D8" t="s">
        <v>33</v>
      </c>
      <c r="E8" t="e" vm="5">
        <v>#VALUE!</v>
      </c>
      <c r="F8" s="1" cm="1">
        <f t="array" aca="1" ref="F8" ca="1">_FV(E8,"Price")</f>
        <v>1.2078</v>
      </c>
      <c r="G8" s="1" cm="1">
        <f t="array" aca="1" ref="G8" ca="1">_FV(E8,"52 week high",TRUE)</f>
        <v>1.2563</v>
      </c>
      <c r="H8" s="1" cm="1">
        <f t="array" aca="1" ref="H8" ca="1">_FV(E8,"52 week low",TRUE)</f>
        <v>1.1658999999999999</v>
      </c>
      <c r="I8" s="2" cm="1">
        <f t="array" aca="1" ref="I8" ca="1">_FV(E8,"Change (%)",TRUE)</f>
        <v>-8.273E-4</v>
      </c>
      <c r="J8" t="s">
        <v>61</v>
      </c>
      <c r="K8" s="7"/>
      <c r="M8" s="17" t="s">
        <v>65</v>
      </c>
      <c r="N8" s="18" t="str" cm="1">
        <f t="array" aca="1" ref="N8" ca="1">_FV(N7,"Name")</f>
        <v>UK Pound Sterling/Euro FX Cross Rate</v>
      </c>
      <c r="X8" s="7"/>
    </row>
    <row r="9" spans="2:24" x14ac:dyDescent="0.35">
      <c r="B9" s="6"/>
      <c r="C9" t="s">
        <v>5</v>
      </c>
      <c r="D9" t="s">
        <v>31</v>
      </c>
      <c r="E9" t="e" vm="4">
        <v>#VALUE!</v>
      </c>
      <c r="F9" s="1" cm="1">
        <f t="array" aca="1" ref="F9" ca="1">_FV(E9,"Price")</f>
        <v>1.1541999999999999</v>
      </c>
      <c r="G9" s="1" cm="1">
        <f t="array" aca="1" ref="G9" ca="1">_FV(E9,"52 week high",TRUE)</f>
        <v>1.1967000000000001</v>
      </c>
      <c r="H9" s="1" cm="1">
        <f t="array" aca="1" ref="H9" ca="1">_FV(E9,"52 week low",TRUE)</f>
        <v>1.1274</v>
      </c>
      <c r="I9" s="2" cm="1">
        <f t="array" aca="1" ref="I9" ca="1">_FV(E9,"Change (%)",TRUE)</f>
        <v>4.3339999999999996E-4</v>
      </c>
      <c r="J9" t="s">
        <v>61</v>
      </c>
      <c r="K9" s="7"/>
      <c r="M9" s="17"/>
      <c r="N9" s="18" t="str" cm="1">
        <f t="array" aca="1" ref="N9:O83" ca="1">_xlfn.STOCKHISTORY(N7,N5,N6,1,1,0,1)</f>
        <v>Date</v>
      </c>
      <c r="O9" s="18" t="str">
        <f ca="1"/>
        <v>Close</v>
      </c>
      <c r="X9" s="7"/>
    </row>
    <row r="10" spans="2:24" x14ac:dyDescent="0.35">
      <c r="B10" s="6"/>
      <c r="C10" t="s">
        <v>6</v>
      </c>
      <c r="D10" t="s">
        <v>34</v>
      </c>
      <c r="E10" t="e" vm="6">
        <v>#VALUE!</v>
      </c>
      <c r="F10" s="1" cm="1">
        <f t="array" aca="1" ref="F10" ca="1">_FV(E10,"Price")</f>
        <v>1.0975999999999999</v>
      </c>
      <c r="G10" s="1" cm="1">
        <f t="array" aca="1" ref="G10" ca="1">_FV(E10,"52 week high",TRUE)</f>
        <v>1.1135999999999999</v>
      </c>
      <c r="H10" s="1" cm="1">
        <f t="array" aca="1" ref="H10" ca="1">_FV(E10,"52 week low",TRUE)</f>
        <v>1.0567</v>
      </c>
      <c r="I10" s="2" cm="1">
        <f t="array" aca="1" ref="I10" ca="1">_FV(E10,"Change (%)",TRUE)</f>
        <v>2.9239999999999999E-3</v>
      </c>
      <c r="J10" t="s">
        <v>61</v>
      </c>
      <c r="K10" s="7"/>
      <c r="M10" s="17"/>
      <c r="N10" s="18" vm="7">
        <f ca="1"/>
        <v>45656</v>
      </c>
      <c r="O10" s="18" vm="8">
        <f ca="1"/>
        <v>1.2048000000000001</v>
      </c>
      <c r="X10" s="7"/>
    </row>
    <row r="11" spans="2:24" x14ac:dyDescent="0.35">
      <c r="B11" s="6"/>
      <c r="C11" t="s">
        <v>7</v>
      </c>
      <c r="D11" t="s">
        <v>35</v>
      </c>
      <c r="E11" t="e" vm="9">
        <v>#VALUE!</v>
      </c>
      <c r="F11" s="1" cm="1">
        <f t="array" aca="1" ref="F11" ca="1">_FV(E11,"Price")</f>
        <v>1.0269999999999999</v>
      </c>
      <c r="G11" s="1" cm="1">
        <f t="array" aca="1" ref="G11" ca="1">_FV(E11,"52 week high",TRUE)</f>
        <v>1.0682</v>
      </c>
      <c r="H11" s="1" cm="1">
        <f t="array" aca="1" ref="H11" ca="1">_FV(E11,"52 week low",TRUE)</f>
        <v>0.98850000000000005</v>
      </c>
      <c r="I11" s="2" cm="1">
        <f t="array" aca="1" ref="I11" ca="1">_FV(E11,"Change (%)",TRUE)</f>
        <v>-7.7840000000000006E-4</v>
      </c>
      <c r="J11" t="s">
        <v>61</v>
      </c>
      <c r="K11" s="7"/>
      <c r="M11" s="17"/>
      <c r="N11" s="18" vm="10">
        <f ca="1"/>
        <v>45663</v>
      </c>
      <c r="O11" s="18" vm="11">
        <f ca="1"/>
        <v>1.1910000000000001</v>
      </c>
      <c r="X11" s="7"/>
    </row>
    <row r="12" spans="2:24" x14ac:dyDescent="0.35">
      <c r="B12" s="6"/>
      <c r="C12" t="s">
        <v>8</v>
      </c>
      <c r="D12" t="s">
        <v>36</v>
      </c>
      <c r="E12" t="e" vm="12">
        <v>#VALUE!</v>
      </c>
      <c r="F12" s="1" cm="1">
        <f t="array" aca="1" ref="F12" ca="1">_FV(E12,"Price")</f>
        <v>0.86609999999999998</v>
      </c>
      <c r="G12" s="1" cm="1">
        <f t="array" aca="1" ref="G12" ca="1">_FV(E12,"52 week high",TRUE)</f>
        <v>0.88649999999999995</v>
      </c>
      <c r="H12" s="1" cm="1">
        <f t="array" aca="1" ref="H12" ca="1">_FV(E12,"52 week low",TRUE)</f>
        <v>0.83479999999999999</v>
      </c>
      <c r="I12" s="2" cm="1">
        <f t="array" aca="1" ref="I12" ca="1">_FV(E12,"Change (%)",TRUE)</f>
        <v>-3.4630000000000001E-4</v>
      </c>
      <c r="J12" t="s">
        <v>61</v>
      </c>
      <c r="K12" s="7"/>
      <c r="M12" s="17"/>
      <c r="N12" s="18" vm="13">
        <f ca="1"/>
        <v>45670</v>
      </c>
      <c r="O12" s="18" vm="14">
        <f ca="1"/>
        <v>1.1840999999999999</v>
      </c>
      <c r="X12" s="7"/>
    </row>
    <row r="13" spans="2:24" x14ac:dyDescent="0.35">
      <c r="B13" s="6"/>
      <c r="C13" t="s">
        <v>9</v>
      </c>
      <c r="D13" t="s">
        <v>37</v>
      </c>
      <c r="E13" t="e" vm="15">
        <v>#VALUE!</v>
      </c>
      <c r="F13" s="1" cm="1">
        <f t="array" aca="1" ref="F13" ca="1">_FV(E13,"Price")</f>
        <v>0.85760000000000003</v>
      </c>
      <c r="G13" s="1" cm="1">
        <f t="array" aca="1" ref="G13" ca="1">_FV(E13,"52 week high",TRUE)</f>
        <v>0.89200000000000002</v>
      </c>
      <c r="H13" s="1" cm="1">
        <f t="array" aca="1" ref="H13" ca="1">_FV(E13,"52 week low",TRUE)</f>
        <v>0.82779999999999998</v>
      </c>
      <c r="I13" s="2" cm="1">
        <f t="array" aca="1" ref="I13" ca="1">_FV(E13,"Change (%)",TRUE)</f>
        <v>-6.9910000000000003E-4</v>
      </c>
      <c r="J13" t="s">
        <v>61</v>
      </c>
      <c r="K13" s="7"/>
      <c r="M13" s="17"/>
      <c r="N13" s="18" vm="16">
        <f ca="1"/>
        <v>45677</v>
      </c>
      <c r="O13" s="18" vm="17">
        <f ca="1"/>
        <v>1.1890000000000001</v>
      </c>
      <c r="X13" s="7"/>
    </row>
    <row r="14" spans="2:24" x14ac:dyDescent="0.35">
      <c r="B14" s="6"/>
      <c r="C14" t="s">
        <v>10</v>
      </c>
      <c r="D14" t="s">
        <v>38</v>
      </c>
      <c r="E14" t="e" vm="18">
        <v>#VALUE!</v>
      </c>
      <c r="F14" s="1" cm="1">
        <f t="array" aca="1" ref="F14" ca="1">_FV(E14,"Price")</f>
        <v>0.67149999999999999</v>
      </c>
      <c r="G14" s="1" cm="1">
        <f t="array" aca="1" ref="G14" ca="1">_FV(E14,"52 week high",TRUE)</f>
        <v>0.68830000000000002</v>
      </c>
      <c r="H14" s="1" cm="1">
        <f t="array" aca="1" ref="H14" ca="1">_FV(E14,"52 week low",TRUE)</f>
        <v>0.65710000000000002</v>
      </c>
      <c r="I14" s="2" cm="1">
        <f t="array" aca="1" ref="I14" ca="1">_FV(E14,"Change (%)",TRUE)</f>
        <v>-1.487E-3</v>
      </c>
      <c r="J14" t="s">
        <v>61</v>
      </c>
      <c r="K14" s="7"/>
      <c r="M14" s="17"/>
      <c r="N14" s="18" vm="19">
        <f ca="1"/>
        <v>45684</v>
      </c>
      <c r="O14" s="18" vm="20">
        <f ca="1"/>
        <v>1.1954</v>
      </c>
      <c r="X14" s="7"/>
    </row>
    <row r="15" spans="2:24" x14ac:dyDescent="0.35">
      <c r="B15" s="6"/>
      <c r="C15" t="s">
        <v>11</v>
      </c>
      <c r="D15" t="s">
        <v>39</v>
      </c>
      <c r="E15" t="e" vm="21">
        <v>#VALUE!</v>
      </c>
      <c r="F15" s="1" cm="1">
        <f t="array" aca="1" ref="F15" ca="1">_FV(E15,"Price")</f>
        <v>0.67149999999999999</v>
      </c>
      <c r="G15" s="1" cm="1">
        <f t="array" aca="1" ref="G15" ca="1">_FV(E15,"52 week high",TRUE)</f>
        <v>0.68840000000000001</v>
      </c>
      <c r="H15" s="1" cm="1">
        <f t="array" aca="1" ref="H15" ca="1">_FV(E15,"52 week low",TRUE)</f>
        <v>0.65700000000000003</v>
      </c>
      <c r="I15" s="2" cm="1">
        <f t="array" aca="1" ref="I15" ca="1">_FV(E15,"Change (%)",TRUE)</f>
        <v>-1.4249999999999998E-3</v>
      </c>
      <c r="J15" t="s">
        <v>61</v>
      </c>
      <c r="K15" s="7"/>
      <c r="M15" s="17"/>
      <c r="N15" s="18" vm="22">
        <f ca="1"/>
        <v>45691</v>
      </c>
      <c r="O15" s="18" vm="23">
        <f ca="1"/>
        <v>1.2015</v>
      </c>
      <c r="X15" s="7"/>
    </row>
    <row r="16" spans="2:24" x14ac:dyDescent="0.35">
      <c r="B16" s="6"/>
      <c r="C16" t="s">
        <v>12</v>
      </c>
      <c r="D16" t="s">
        <v>40</v>
      </c>
      <c r="E16" t="e" vm="24">
        <v>#VALUE!</v>
      </c>
      <c r="F16" s="1" cm="1">
        <f t="array" aca="1" ref="F16" ca="1">_FV(E16,"Price")</f>
        <v>0.62160000000000004</v>
      </c>
      <c r="G16" s="1" cm="1">
        <f t="array" aca="1" ref="G16" ca="1">_FV(E16,"52 week high",TRUE)</f>
        <v>0.64349999999999996</v>
      </c>
      <c r="H16" s="1" cm="1">
        <f t="array" aca="1" ref="H16" ca="1">_FV(E16,"52 week low",TRUE)</f>
        <v>0.60709999999999997</v>
      </c>
      <c r="I16" s="2" cm="1">
        <f t="array" aca="1" ref="I16" ca="1">_FV(E16,"Change (%)",TRUE)</f>
        <v>-1.446E-3</v>
      </c>
      <c r="J16" t="s">
        <v>61</v>
      </c>
      <c r="K16" s="7"/>
      <c r="M16" s="17"/>
      <c r="N16" s="18" vm="25">
        <f ca="1"/>
        <v>45698</v>
      </c>
      <c r="O16" s="18" vm="26">
        <f ca="1"/>
        <v>1.1991000000000001</v>
      </c>
      <c r="X16" s="7"/>
    </row>
    <row r="17" spans="2:24" x14ac:dyDescent="0.35">
      <c r="B17" s="6"/>
      <c r="C17" t="s">
        <v>13</v>
      </c>
      <c r="D17" t="s">
        <v>41</v>
      </c>
      <c r="E17" t="e" vm="27">
        <v>#VALUE!</v>
      </c>
      <c r="F17" s="1" cm="1">
        <f t="array" aca="1" ref="F17" ca="1">_FV(E17,"Price")</f>
        <v>0.61599999999999999</v>
      </c>
      <c r="G17" s="1" cm="1">
        <f t="array" aca="1" ref="G17" ca="1">_FV(E17,"52 week high",TRUE)</f>
        <v>0.62060000000000004</v>
      </c>
      <c r="H17" s="1" cm="1">
        <f t="array" aca="1" ref="H17" ca="1">_FV(E17,"52 week low",TRUE)</f>
        <v>0.55030000000000001</v>
      </c>
      <c r="I17" s="2" cm="1">
        <f t="array" aca="1" ref="I17" ca="1">_FV(E17,"Change (%)",TRUE)</f>
        <v>2.1150000000000001E-3</v>
      </c>
      <c r="J17" t="s">
        <v>61</v>
      </c>
      <c r="K17" s="7"/>
      <c r="M17" s="17"/>
      <c r="N17" s="18" vm="28">
        <f ca="1"/>
        <v>45705</v>
      </c>
      <c r="O17" s="18" vm="29">
        <f ca="1"/>
        <v>1.2075</v>
      </c>
      <c r="X17" s="7"/>
    </row>
    <row r="18" spans="2:24" x14ac:dyDescent="0.35">
      <c r="B18" s="6"/>
      <c r="C18" t="s">
        <v>14</v>
      </c>
      <c r="D18" t="s">
        <v>42</v>
      </c>
      <c r="E18" t="e" vm="30">
        <v>#VALUE!</v>
      </c>
      <c r="F18" s="1" cm="1">
        <f t="array" aca="1" ref="F18" ca="1">_FV(E18,"Price")</f>
        <v>0.51239999999999997</v>
      </c>
      <c r="G18" s="1" cm="1">
        <f t="array" aca="1" ref="G18" ca="1">_FV(E18,"52 week high",TRUE)</f>
        <v>0.52059999999999995</v>
      </c>
      <c r="H18" s="1" cm="1">
        <f t="array" aca="1" ref="H18" ca="1">_FV(E18,"52 week low",TRUE)</f>
        <v>0.50309999999999999</v>
      </c>
      <c r="I18" s="2" cm="1">
        <f t="array" aca="1" ref="I18" ca="1">_FV(E18,"Change (%)",TRUE)</f>
        <v>2.1510000000000001E-3</v>
      </c>
      <c r="J18" t="s">
        <v>61</v>
      </c>
      <c r="K18" s="7"/>
      <c r="M18" s="17"/>
      <c r="N18" s="18" vm="31">
        <f ca="1"/>
        <v>45712</v>
      </c>
      <c r="O18" s="18" vm="32">
        <f ca="1"/>
        <v>1.212</v>
      </c>
      <c r="X18" s="7"/>
    </row>
    <row r="19" spans="2:24" x14ac:dyDescent="0.35">
      <c r="B19" s="6"/>
      <c r="C19" t="s">
        <v>15</v>
      </c>
      <c r="D19" t="s">
        <v>43</v>
      </c>
      <c r="E19" t="e" vm="33">
        <v>#VALUE!</v>
      </c>
      <c r="F19" s="1" cm="1">
        <f t="array" aca="1" ref="F19" ca="1">_FV(E19,"Price")</f>
        <v>0.503</v>
      </c>
      <c r="G19" s="1" cm="1">
        <f t="array" aca="1" ref="G19" ca="1">_FV(E19,"52 week high",TRUE)</f>
        <v>0.5232</v>
      </c>
      <c r="H19" s="1" cm="1">
        <f t="array" aca="1" ref="H19" ca="1">_FV(E19,"52 week low",TRUE)</f>
        <v>0.48110000000000003</v>
      </c>
      <c r="I19" s="2" cm="1">
        <f t="array" aca="1" ref="I19" ca="1">_FV(E19,"Change (%)",TRUE)</f>
        <v>-8.5419999999999995E-4</v>
      </c>
      <c r="J19" t="s">
        <v>61</v>
      </c>
      <c r="K19" s="7"/>
      <c r="M19" s="17"/>
      <c r="N19" s="18" vm="34">
        <f ca="1"/>
        <v>45719</v>
      </c>
      <c r="O19" s="18" vm="35">
        <f ca="1"/>
        <v>1.1923999999999999</v>
      </c>
      <c r="X19" s="7"/>
    </row>
    <row r="20" spans="2:24" x14ac:dyDescent="0.35">
      <c r="B20" s="6"/>
      <c r="C20" t="s">
        <v>16</v>
      </c>
      <c r="D20" t="s">
        <v>43</v>
      </c>
      <c r="E20" t="e" vm="33">
        <v>#VALUE!</v>
      </c>
      <c r="F20" s="1" cm="1">
        <f t="array" aca="1" ref="F20" ca="1">_FV(E20,"Price")</f>
        <v>0.503</v>
      </c>
      <c r="G20" s="1" cm="1">
        <f t="array" aca="1" ref="G20" ca="1">_FV(E20,"52 week high",TRUE)</f>
        <v>0.5232</v>
      </c>
      <c r="H20" s="1" cm="1">
        <f t="array" aca="1" ref="H20" ca="1">_FV(E20,"52 week low",TRUE)</f>
        <v>0.48110000000000003</v>
      </c>
      <c r="I20" s="2" cm="1">
        <f t="array" aca="1" ref="I20" ca="1">_FV(E20,"Change (%)",TRUE)</f>
        <v>-8.5419999999999995E-4</v>
      </c>
      <c r="J20" t="s">
        <v>61</v>
      </c>
      <c r="K20" s="7"/>
      <c r="M20" s="17"/>
      <c r="N20" s="18" vm="36">
        <f ca="1"/>
        <v>45726</v>
      </c>
      <c r="O20" s="18" vm="37">
        <f ca="1"/>
        <v>1.1883999999999999</v>
      </c>
      <c r="X20" s="7"/>
    </row>
    <row r="21" spans="2:24" x14ac:dyDescent="0.35">
      <c r="B21" s="6"/>
      <c r="C21" t="s">
        <v>17</v>
      </c>
      <c r="D21" t="s">
        <v>44</v>
      </c>
      <c r="E21" t="e" vm="38">
        <v>#VALUE!</v>
      </c>
      <c r="F21" s="1" cm="1">
        <f t="array" aca="1" ref="F21" ca="1">_FV(E21,"Price")</f>
        <v>0.51349999999999996</v>
      </c>
      <c r="G21" s="1" cm="1">
        <f t="array" aca="1" ref="G21" ca="1">_FV(E21,"52 week high",TRUE)</f>
        <v>0.53110000000000002</v>
      </c>
      <c r="H21" s="1" cm="1">
        <f t="array" aca="1" ref="H21" ca="1">_FV(E21,"52 week low",TRUE)</f>
        <v>0.48330000000000001</v>
      </c>
      <c r="I21" s="2" cm="1">
        <f t="array" aca="1" ref="I21" ca="1">_FV(E21,"Change (%)",TRUE)</f>
        <v>8.2469999999999991E-3</v>
      </c>
      <c r="J21" t="s">
        <v>61</v>
      </c>
      <c r="K21" s="7"/>
      <c r="M21" s="17"/>
      <c r="N21" s="18" vm="39">
        <f ca="1"/>
        <v>45733</v>
      </c>
      <c r="O21" s="18" vm="40">
        <f ca="1"/>
        <v>1.1940999999999999</v>
      </c>
      <c r="X21" s="7"/>
    </row>
    <row r="22" spans="2:24" x14ac:dyDescent="0.35">
      <c r="B22" s="6"/>
      <c r="C22" t="s">
        <v>18</v>
      </c>
      <c r="D22" t="s">
        <v>45</v>
      </c>
      <c r="E22" t="e" vm="41">
        <v>#VALUE!</v>
      </c>
      <c r="F22" s="1" cm="1">
        <f t="array" aca="1" ref="F22" ca="1">_FV(E22,"Price")</f>
        <v>0.42409999999999998</v>
      </c>
      <c r="G22" s="1" cm="1">
        <f t="array" aca="1" ref="G22" ca="1">_FV(E22,"52 week high",TRUE)</f>
        <v>0.44219999999999998</v>
      </c>
      <c r="H22" s="1" cm="1">
        <f t="array" aca="1" ref="H22" ca="1">_FV(E22,"52 week low",TRUE)</f>
        <v>0.40939999999999999</v>
      </c>
      <c r="I22" s="2" cm="1">
        <f t="array" aca="1" ref="I22" ca="1">_FV(E22,"Change (%)",TRUE)</f>
        <v>-7.069E-4</v>
      </c>
      <c r="J22" t="s">
        <v>61</v>
      </c>
      <c r="K22" s="7"/>
      <c r="M22" s="17"/>
      <c r="N22" s="18" vm="42">
        <f ca="1"/>
        <v>45740</v>
      </c>
      <c r="O22" s="18" vm="43">
        <f ca="1"/>
        <v>1.1948000000000001</v>
      </c>
      <c r="X22" s="7"/>
    </row>
    <row r="23" spans="2:24" x14ac:dyDescent="0.35">
      <c r="B23" s="6"/>
      <c r="C23" t="s">
        <v>19</v>
      </c>
      <c r="D23" t="s">
        <v>46</v>
      </c>
      <c r="E23" t="e" vm="44">
        <v>#VALUE!</v>
      </c>
      <c r="F23" s="1" cm="1">
        <f t="array" aca="1" ref="F23" ca="1">_FV(E23,"Price")</f>
        <v>0.4224</v>
      </c>
      <c r="G23" s="1" cm="1">
        <f t="array" aca="1" ref="G23" ca="1">_FV(E23,"52 week high",TRUE)</f>
        <v>0.44030000000000002</v>
      </c>
      <c r="H23" s="1" cm="1">
        <f t="array" aca="1" ref="H23" ca="1">_FV(E23,"52 week low",TRUE)</f>
        <v>0.4078</v>
      </c>
      <c r="I23" s="2" cm="1">
        <f t="array" aca="1" ref="I23" ca="1">_FV(E23,"Change (%)",TRUE)</f>
        <v>-7.0970000000000007E-4</v>
      </c>
      <c r="J23" t="s">
        <v>61</v>
      </c>
      <c r="K23" s="7"/>
      <c r="M23" s="17"/>
      <c r="N23" s="18" vm="45">
        <f ca="1"/>
        <v>45747</v>
      </c>
      <c r="O23" s="18" vm="46">
        <f ca="1"/>
        <v>1.1763999999999999</v>
      </c>
      <c r="X23" s="7"/>
    </row>
    <row r="24" spans="2:24" x14ac:dyDescent="0.35">
      <c r="B24" s="6"/>
      <c r="C24" t="s">
        <v>20</v>
      </c>
      <c r="D24" t="s">
        <v>47</v>
      </c>
      <c r="E24" t="e" vm="47">
        <v>#VALUE!</v>
      </c>
      <c r="F24" s="1" cm="1">
        <f t="array" aca="1" ref="F24" ca="1">_FV(E24,"Price")</f>
        <v>0.38300000000000001</v>
      </c>
      <c r="G24" s="1" cm="1">
        <f t="array" aca="1" ref="G24" ca="1">_FV(E24,"52 week high",TRUE)</f>
        <v>0.38950000000000001</v>
      </c>
      <c r="H24" s="1" cm="1">
        <f t="array" aca="1" ref="H24" ca="1">_FV(E24,"52 week low",TRUE)</f>
        <v>0.36380000000000001</v>
      </c>
      <c r="I24" s="2" cm="1">
        <f t="array" aca="1" ref="I24" ca="1">_FV(E24,"Change (%)",TRUE)</f>
        <v>-7.8270000000000011E-4</v>
      </c>
      <c r="J24" t="s">
        <v>61</v>
      </c>
      <c r="K24" s="7"/>
      <c r="M24" s="17"/>
      <c r="N24" s="18" vm="48">
        <f ca="1"/>
        <v>45754</v>
      </c>
      <c r="O24" s="18" vm="49">
        <f ca="1"/>
        <v>1.1513</v>
      </c>
      <c r="X24" s="7"/>
    </row>
    <row r="25" spans="2:24" x14ac:dyDescent="0.35">
      <c r="B25" s="6"/>
      <c r="C25" t="s">
        <v>21</v>
      </c>
      <c r="D25" t="s">
        <v>48</v>
      </c>
      <c r="E25" t="e" vm="50">
        <v>#VALUE!</v>
      </c>
      <c r="F25" s="1" cm="1">
        <f t="array" aca="1" ref="F25" ca="1">_FV(E25,"Price")</f>
        <v>0.32</v>
      </c>
      <c r="G25" s="1" cm="1">
        <f t="array" aca="1" ref="G25" ca="1">_FV(E25,"52 week high",TRUE)</f>
        <v>0.33</v>
      </c>
      <c r="H25" s="1" cm="1">
        <f t="array" aca="1" ref="H25" ca="1">_FV(E25,"52 week low",TRUE)</f>
        <v>0.3</v>
      </c>
      <c r="I25" s="2" cm="1">
        <f t="array" aca="1" ref="I25" ca="1">_FV(E25,"Change (%)",TRUE)</f>
        <v>0</v>
      </c>
      <c r="J25" t="s">
        <v>61</v>
      </c>
      <c r="K25" s="7"/>
      <c r="M25" s="17"/>
      <c r="N25" s="18" vm="51">
        <f ca="1"/>
        <v>45761</v>
      </c>
      <c r="O25" s="18" vm="52">
        <f ca="1"/>
        <v>1.1668000000000001</v>
      </c>
      <c r="X25" s="7"/>
    </row>
    <row r="26" spans="2:24" x14ac:dyDescent="0.35">
      <c r="B26" s="6"/>
      <c r="C26" t="s">
        <v>22</v>
      </c>
      <c r="D26" t="s">
        <v>49</v>
      </c>
      <c r="E26" t="e" vm="53">
        <v>#VALUE!</v>
      </c>
      <c r="F26" s="1" cm="1">
        <f t="array" aca="1" ref="F26" ca="1">_FV(E26,"Price")</f>
        <v>0.31530000000000002</v>
      </c>
      <c r="G26" s="1" cm="1">
        <f t="array" aca="1" ref="G26" ca="1">_FV(E26,"52 week high",TRUE)</f>
        <v>0.32790000000000002</v>
      </c>
      <c r="H26" s="1" cm="1">
        <f t="array" aca="1" ref="H26" ca="1">_FV(E26,"52 week low",TRUE)</f>
        <v>0.30430000000000001</v>
      </c>
      <c r="I26" s="2" cm="1">
        <f t="array" aca="1" ref="I26" ca="1">_FV(E26,"Change (%)",TRUE)</f>
        <v>-6.3390000000000007E-4</v>
      </c>
      <c r="J26" t="s">
        <v>61</v>
      </c>
      <c r="K26" s="7"/>
      <c r="M26" s="17"/>
      <c r="N26" s="18" vm="54">
        <f ca="1"/>
        <v>45768</v>
      </c>
      <c r="O26" s="18" vm="55">
        <f ca="1"/>
        <v>1.1714</v>
      </c>
      <c r="X26" s="7"/>
    </row>
    <row r="27" spans="2:24" x14ac:dyDescent="0.35">
      <c r="B27" s="6"/>
      <c r="C27" t="s">
        <v>23</v>
      </c>
      <c r="D27" t="s">
        <v>50</v>
      </c>
      <c r="E27" t="e" vm="56">
        <v>#VALUE!</v>
      </c>
      <c r="F27" s="1" cm="1">
        <f t="array" aca="1" ref="F27" ca="1">_FV(E27,"Price")</f>
        <v>0.23519999999999999</v>
      </c>
      <c r="G27" s="1" cm="1">
        <f t="array" aca="1" ref="G27" ca="1">_FV(E27,"52 week high",TRUE)</f>
        <v>0.24399999999999999</v>
      </c>
      <c r="H27" s="1" cm="1">
        <f t="array" aca="1" ref="H27" ca="1">_FV(E27,"52 week low",TRUE)</f>
        <v>0.2271</v>
      </c>
      <c r="I27" s="2" cm="1">
        <f t="array" aca="1" ref="I27" ca="1">_FV(E27,"Change (%)",TRUE)</f>
        <v>-4.2500000000000003E-4</v>
      </c>
      <c r="J27" t="s">
        <v>61</v>
      </c>
      <c r="K27" s="7"/>
      <c r="M27" s="17"/>
      <c r="N27" s="18" vm="57">
        <f ca="1"/>
        <v>45775</v>
      </c>
      <c r="O27" s="18" vm="58">
        <f ca="1"/>
        <v>1.1747000000000001</v>
      </c>
      <c r="X27" s="7"/>
    </row>
    <row r="28" spans="2:24" x14ac:dyDescent="0.35">
      <c r="B28" s="6"/>
      <c r="C28" t="s">
        <v>24</v>
      </c>
      <c r="D28" t="s">
        <v>51</v>
      </c>
      <c r="E28" t="e" vm="59">
        <v>#VALUE!</v>
      </c>
      <c r="F28" s="1" cm="1">
        <f t="array" aca="1" ref="F28" ca="1">_FV(E28,"Price")</f>
        <v>0.23350000000000001</v>
      </c>
      <c r="G28" s="1" cm="1">
        <f t="array" aca="1" ref="G28" ca="1">_FV(E28,"52 week high",TRUE)</f>
        <v>0.24279999999999999</v>
      </c>
      <c r="H28" s="1" cm="1">
        <f t="array" aca="1" ref="H28" ca="1">_FV(E28,"52 week low",TRUE)</f>
        <v>0.22539999999999999</v>
      </c>
      <c r="I28" s="2" cm="1">
        <f t="array" aca="1" ref="I28" ca="1">_FV(E28,"Change (%)",TRUE)</f>
        <v>-6.4210000000000005E-4</v>
      </c>
      <c r="J28" t="s">
        <v>61</v>
      </c>
      <c r="K28" s="7"/>
      <c r="M28" s="17"/>
      <c r="N28" s="18" vm="60">
        <f ca="1"/>
        <v>45782</v>
      </c>
      <c r="O28" s="18" vm="61">
        <f ca="1"/>
        <v>1.1827000000000001</v>
      </c>
      <c r="X28" s="7"/>
    </row>
    <row r="29" spans="2:24" x14ac:dyDescent="0.35">
      <c r="B29" s="6"/>
      <c r="C29" t="s">
        <v>25</v>
      </c>
      <c r="D29" t="s">
        <v>52</v>
      </c>
      <c r="E29" t="e" vm="62">
        <v>#VALUE!</v>
      </c>
      <c r="F29" s="1" cm="1">
        <f t="array" aca="1" ref="F29" ca="1">_FV(E29,"Price")</f>
        <v>0.22850000000000001</v>
      </c>
      <c r="G29" s="1" cm="1">
        <f t="array" aca="1" ref="G29" ca="1">_FV(E29,"52 week high",TRUE)</f>
        <v>0.23780000000000001</v>
      </c>
      <c r="H29" s="1" cm="1">
        <f t="array" aca="1" ref="H29" ca="1">_FV(E29,"52 week low",TRUE)</f>
        <v>0.2208</v>
      </c>
      <c r="I29" s="2" cm="1">
        <f t="array" aca="1" ref="I29" ca="1">_FV(E29,"Change (%)",TRUE)</f>
        <v>-8.7449999999999995E-4</v>
      </c>
      <c r="J29" t="s">
        <v>61</v>
      </c>
      <c r="K29" s="7"/>
      <c r="M29" s="17"/>
      <c r="N29" s="18" vm="63">
        <f ca="1"/>
        <v>45789</v>
      </c>
      <c r="O29" s="18" vm="64">
        <f ca="1"/>
        <v>1.1888000000000001</v>
      </c>
      <c r="X29" s="7"/>
    </row>
    <row r="30" spans="2:24" x14ac:dyDescent="0.35">
      <c r="B30" s="6"/>
      <c r="C30" t="s">
        <v>26</v>
      </c>
      <c r="D30" t="s">
        <v>53</v>
      </c>
      <c r="E30" t="e" vm="65">
        <v>#VALUE!</v>
      </c>
      <c r="F30" s="1" cm="1">
        <f t="array" aca="1" ref="F30" ca="1">_FV(E30,"Price")</f>
        <v>0.2162</v>
      </c>
      <c r="G30" s="1" cm="1">
        <f t="array" aca="1" ref="G30" ca="1">_FV(E30,"52 week high",TRUE)</f>
        <v>0.2228</v>
      </c>
      <c r="H30" s="1" cm="1">
        <f t="array" aca="1" ref="H30" ca="1">_FV(E30,"52 week low",TRUE)</f>
        <v>0.19989999999999999</v>
      </c>
      <c r="I30" s="2" cm="1">
        <f t="array" aca="1" ref="I30" ca="1">_FV(E30,"Change (%)",TRUE)</f>
        <v>2.6440000000000001E-3</v>
      </c>
      <c r="J30" t="s">
        <v>61</v>
      </c>
      <c r="K30" s="7"/>
      <c r="M30" s="17"/>
      <c r="N30" s="18" vm="66">
        <f ca="1"/>
        <v>45796</v>
      </c>
      <c r="O30" s="18" vm="67">
        <f ca="1"/>
        <v>1.1909000000000001</v>
      </c>
      <c r="X30" s="7"/>
    </row>
    <row r="31" spans="2:24" x14ac:dyDescent="0.35">
      <c r="B31" s="6"/>
      <c r="C31" t="s">
        <v>27</v>
      </c>
      <c r="D31" t="s">
        <v>54</v>
      </c>
      <c r="E31" t="e" vm="68">
        <v>#VALUE!</v>
      </c>
      <c r="F31" s="1" cm="1">
        <f t="array" aca="1" ref="F31" ca="1">_FV(E31,"Price")</f>
        <v>0.12670000000000001</v>
      </c>
      <c r="G31" s="1" cm="1">
        <f t="array" aca="1" ref="G31" ca="1">_FV(E31,"52 week high",TRUE)</f>
        <v>0.12720000000000001</v>
      </c>
      <c r="H31" s="1" cm="1">
        <f t="array" aca="1" ref="H31" ca="1">_FV(E31,"52 week low",TRUE)</f>
        <v>0.11799999999999999</v>
      </c>
      <c r="I31" s="2" cm="1">
        <f t="array" aca="1" ref="I31" ca="1">_FV(E31,"Change (%)",TRUE)</f>
        <v>1.106E-3</v>
      </c>
      <c r="J31" t="s">
        <v>61</v>
      </c>
      <c r="K31" s="7"/>
      <c r="M31" s="17"/>
      <c r="N31" s="18" vm="69">
        <f ca="1"/>
        <v>45803</v>
      </c>
      <c r="O31" s="18" vm="70">
        <f ca="1"/>
        <v>1.1859</v>
      </c>
      <c r="X31" s="7"/>
    </row>
    <row r="32" spans="2:24" ht="15" thickBot="1" x14ac:dyDescent="0.4">
      <c r="B32" s="8"/>
      <c r="C32" s="9"/>
      <c r="D32" s="9"/>
      <c r="E32" s="9"/>
      <c r="F32" s="9"/>
      <c r="G32" s="9"/>
      <c r="H32" s="9"/>
      <c r="I32" s="9"/>
      <c r="J32" s="9"/>
      <c r="K32" s="10"/>
      <c r="M32" s="19"/>
      <c r="N32" s="20" vm="71">
        <f ca="1"/>
        <v>45810</v>
      </c>
      <c r="O32" s="20" vm="72">
        <f ca="1"/>
        <v>1.1865000000000001</v>
      </c>
      <c r="P32" s="9"/>
      <c r="Q32" s="9"/>
      <c r="R32" s="9"/>
      <c r="S32" s="9"/>
      <c r="T32" s="9"/>
      <c r="U32" s="9"/>
      <c r="V32" s="9"/>
      <c r="W32" s="9"/>
      <c r="X32" s="10"/>
    </row>
    <row r="33" spans="14:15" x14ac:dyDescent="0.35">
      <c r="N33" s="18" vm="73">
        <f ca="1"/>
        <v>45817</v>
      </c>
      <c r="O33" s="18" vm="74">
        <f ca="1"/>
        <v>1.1740999999999999</v>
      </c>
    </row>
    <row r="34" spans="14:15" x14ac:dyDescent="0.35">
      <c r="N34" s="18" vm="75">
        <f ca="1"/>
        <v>45824</v>
      </c>
      <c r="O34" s="18" vm="76">
        <f ca="1"/>
        <v>1.1671</v>
      </c>
    </row>
    <row r="35" spans="14:15" x14ac:dyDescent="0.35">
      <c r="N35" s="18" vm="77">
        <f ca="1"/>
        <v>45831</v>
      </c>
      <c r="O35" s="18" vm="78">
        <f ca="1"/>
        <v>1.17</v>
      </c>
    </row>
    <row r="36" spans="14:15" x14ac:dyDescent="0.35">
      <c r="N36" s="18" vm="79">
        <f ca="1"/>
        <v>45838</v>
      </c>
      <c r="O36" s="18" vm="80">
        <f ca="1"/>
        <v>1.1589</v>
      </c>
    </row>
    <row r="37" spans="14:15" x14ac:dyDescent="0.35">
      <c r="N37" s="18" vm="81">
        <f ca="1"/>
        <v>45845</v>
      </c>
      <c r="O37" s="18" vm="82">
        <f ca="1"/>
        <v>1.1546000000000001</v>
      </c>
    </row>
    <row r="38" spans="14:15" x14ac:dyDescent="0.35">
      <c r="N38" s="18" vm="83">
        <f ca="1"/>
        <v>45852</v>
      </c>
      <c r="O38" s="18" vm="84">
        <f ca="1"/>
        <v>1.1528</v>
      </c>
    </row>
    <row r="39" spans="14:15" x14ac:dyDescent="0.35">
      <c r="N39" s="18" vm="85">
        <f ca="1"/>
        <v>45859</v>
      </c>
      <c r="O39" s="18" vm="86">
        <f ca="1"/>
        <v>1.1438999999999999</v>
      </c>
    </row>
    <row r="40" spans="14:15" x14ac:dyDescent="0.35">
      <c r="N40" s="18" vm="87">
        <f ca="1"/>
        <v>45866</v>
      </c>
      <c r="O40" s="18" vm="88">
        <f ca="1"/>
        <v>1.1458999999999999</v>
      </c>
    </row>
    <row r="41" spans="14:15" x14ac:dyDescent="0.35">
      <c r="N41" s="18" vm="89">
        <f ca="1"/>
        <v>45873</v>
      </c>
      <c r="O41" s="18" vm="90">
        <f ca="1"/>
        <v>1.1553</v>
      </c>
    </row>
    <row r="42" spans="14:15" x14ac:dyDescent="0.35">
      <c r="N42" s="18" vm="91">
        <f ca="1"/>
        <v>45880</v>
      </c>
      <c r="O42" s="18" vm="92">
        <f ca="1"/>
        <v>1.1583000000000001</v>
      </c>
    </row>
    <row r="43" spans="14:15" x14ac:dyDescent="0.35">
      <c r="N43" s="18" vm="93">
        <f ca="1"/>
        <v>45887</v>
      </c>
      <c r="O43" s="18" vm="94">
        <f ca="1"/>
        <v>1.1539999999999999</v>
      </c>
    </row>
    <row r="44" spans="14:15" x14ac:dyDescent="0.35">
      <c r="N44" s="18" vm="95">
        <f ca="1"/>
        <v>45894</v>
      </c>
      <c r="O44" s="18" vm="90">
        <f ca="1"/>
        <v>1.1553</v>
      </c>
    </row>
    <row r="45" spans="14:15" x14ac:dyDescent="0.35">
      <c r="N45" s="18" vm="96">
        <f ca="1"/>
        <v>45901</v>
      </c>
      <c r="O45" s="18" vm="97">
        <f ca="1"/>
        <v>1.1523000000000001</v>
      </c>
    </row>
    <row r="46" spans="14:15" x14ac:dyDescent="0.35">
      <c r="N46" s="18" vm="98">
        <f ca="1"/>
        <v>45908</v>
      </c>
      <c r="O46" s="18" vm="99">
        <f ca="1"/>
        <v>1.1552</v>
      </c>
    </row>
    <row r="47" spans="14:15" x14ac:dyDescent="0.35">
      <c r="N47" s="18" vm="100">
        <f ca="1"/>
        <v>45915</v>
      </c>
      <c r="O47" s="18" vm="101">
        <f ca="1"/>
        <v>1.1463000000000001</v>
      </c>
    </row>
    <row r="48" spans="14:15" x14ac:dyDescent="0.35">
      <c r="N48" s="18" vm="102">
        <f ca="1"/>
        <v>45922</v>
      </c>
      <c r="O48" s="18" vm="103">
        <f ca="1"/>
        <v>1.145</v>
      </c>
    </row>
    <row r="49" spans="14:15" x14ac:dyDescent="0.35">
      <c r="N49" s="18" vm="104">
        <f ca="1"/>
        <v>45929</v>
      </c>
      <c r="O49" s="18" vm="105">
        <f ca="1"/>
        <v>1.1476</v>
      </c>
    </row>
    <row r="50" spans="14:15" x14ac:dyDescent="0.35">
      <c r="N50" s="18" vm="106">
        <f ca="1"/>
        <v>45936</v>
      </c>
      <c r="O50" s="18" vm="107">
        <f ca="1"/>
        <v>1.1494</v>
      </c>
    </row>
    <row r="51" spans="14:15" x14ac:dyDescent="0.35">
      <c r="N51" s="18" vm="108">
        <f ca="1"/>
        <v>45943</v>
      </c>
      <c r="O51" s="18" vm="109">
        <f ca="1"/>
        <v>1.1520999999999999</v>
      </c>
    </row>
    <row r="52" spans="14:15" x14ac:dyDescent="0.35">
      <c r="N52" s="18" vm="110">
        <f ca="1"/>
        <v>45950</v>
      </c>
      <c r="O52" s="18" vm="111">
        <f ca="1"/>
        <v>1.1447000000000001</v>
      </c>
    </row>
    <row r="53" spans="14:15" x14ac:dyDescent="0.35">
      <c r="N53" s="18" vm="112">
        <f ca="1"/>
        <v>45957</v>
      </c>
      <c r="O53" s="18" vm="113">
        <f ca="1"/>
        <v>1.1398999999999999</v>
      </c>
    </row>
    <row r="54" spans="14:15" x14ac:dyDescent="0.35">
      <c r="N54" s="18" vm="114">
        <f ca="1"/>
        <v>45964</v>
      </c>
      <c r="O54" s="18" vm="115">
        <f ca="1"/>
        <v>1.1375</v>
      </c>
    </row>
    <row r="55" spans="14:15" x14ac:dyDescent="0.35">
      <c r="N55" s="18" vm="116">
        <f ca="1"/>
        <v>45971</v>
      </c>
      <c r="O55" s="18" vm="117">
        <f ca="1"/>
        <v>1.133</v>
      </c>
    </row>
    <row r="56" spans="14:15" x14ac:dyDescent="0.35">
      <c r="N56" s="18" vm="118">
        <f ca="1"/>
        <v>45978</v>
      </c>
      <c r="O56" s="18" vm="119">
        <f ca="1"/>
        <v>1.1372</v>
      </c>
    </row>
    <row r="57" spans="14:15" x14ac:dyDescent="0.35">
      <c r="N57" s="18" vm="120">
        <f ca="1"/>
        <v>45985</v>
      </c>
      <c r="O57" s="18" vm="121">
        <f ca="1"/>
        <v>1.1413</v>
      </c>
    </row>
    <row r="58" spans="14:15" x14ac:dyDescent="0.35">
      <c r="N58" s="18" vm="122">
        <f ca="1"/>
        <v>45992</v>
      </c>
      <c r="O58" s="18" vm="123">
        <f ca="1"/>
        <v>1.1448</v>
      </c>
    </row>
    <row r="59" spans="14:15" x14ac:dyDescent="0.35">
      <c r="N59" s="18" vm="124">
        <f ca="1"/>
        <v>45999</v>
      </c>
      <c r="O59" s="18" vm="125">
        <f ca="1"/>
        <v>1.1386000000000001</v>
      </c>
    </row>
    <row r="60" spans="14:15" x14ac:dyDescent="0.35">
      <c r="N60" s="18" vm="126">
        <f ca="1"/>
        <v>46006</v>
      </c>
      <c r="O60" s="18" vm="127">
        <f ca="1"/>
        <v>1.1420999999999999</v>
      </c>
    </row>
    <row r="61" spans="14:15" x14ac:dyDescent="0.35">
      <c r="N61" s="18" vm="128">
        <f ca="1"/>
        <v>46013</v>
      </c>
      <c r="O61" s="18" vm="129">
        <f ca="1"/>
        <v>1.1462000000000001</v>
      </c>
    </row>
    <row r="62" spans="14:15" x14ac:dyDescent="0.35">
      <c r="N62" s="18" vm="130">
        <f ca="1"/>
        <v>46020</v>
      </c>
      <c r="O62" s="18" vm="131">
        <f ca="1"/>
        <v>1.1479999999999999</v>
      </c>
    </row>
    <row r="63" spans="14:15" x14ac:dyDescent="0.35">
      <c r="N63" s="18" vm="132">
        <f ca="1"/>
        <v>46027</v>
      </c>
      <c r="O63" s="18" vm="133">
        <f ca="1"/>
        <v>1.1512</v>
      </c>
    </row>
    <row r="64" spans="14:15" x14ac:dyDescent="0.35">
      <c r="N64" s="18" vm="134">
        <f ca="1"/>
        <v>46034</v>
      </c>
      <c r="O64" s="18" vm="135">
        <f ca="1"/>
        <v>1.1534</v>
      </c>
    </row>
    <row r="65" spans="14:15" x14ac:dyDescent="0.35">
      <c r="N65" s="18" vm="136">
        <f ca="1"/>
        <v>46041</v>
      </c>
      <c r="O65" s="18" vm="137">
        <f ca="1"/>
        <v>1.1531</v>
      </c>
    </row>
    <row r="66" spans="14:15" x14ac:dyDescent="0.35">
      <c r="N66" s="18" vm="138">
        <f ca="1"/>
        <v>46048</v>
      </c>
      <c r="O66" s="18" vm="139">
        <f ca="1"/>
        <v>1.1549</v>
      </c>
    </row>
    <row r="67" spans="14:15" x14ac:dyDescent="0.35">
      <c r="N67" s="18" vm="140">
        <f ca="1"/>
        <v>46055</v>
      </c>
      <c r="O67" s="18" vm="141">
        <f ca="1"/>
        <v>1.1515</v>
      </c>
    </row>
    <row r="68" spans="14:15" x14ac:dyDescent="0.35">
      <c r="N68" s="18" vm="142">
        <f ca="1"/>
        <v>46062</v>
      </c>
      <c r="O68" s="18" vm="143">
        <f ca="1"/>
        <v>1.1497999999999999</v>
      </c>
    </row>
    <row r="69" spans="14:15" x14ac:dyDescent="0.35">
      <c r="N69" s="18" vm="144">
        <f ca="1"/>
        <v>46069</v>
      </c>
      <c r="O69" s="18" vm="145">
        <f ca="1"/>
        <v>1.1442000000000001</v>
      </c>
    </row>
    <row r="70" spans="14:15" x14ac:dyDescent="0.35">
      <c r="N70" s="18" vm="146">
        <f ca="1"/>
        <v>46076</v>
      </c>
      <c r="O70" s="18" vm="121">
        <f ca="1"/>
        <v>1.1413</v>
      </c>
    </row>
    <row r="71" spans="14:15" x14ac:dyDescent="0.35">
      <c r="N71" s="18" vm="147">
        <f ca="1"/>
        <v>46083</v>
      </c>
      <c r="O71" s="18" vm="148">
        <f ca="1"/>
        <v>1.1541999999999999</v>
      </c>
    </row>
    <row r="72" spans="14:15" x14ac:dyDescent="0.35">
      <c r="N72" s="18" vm="149">
        <f ca="1"/>
        <v>46090</v>
      </c>
      <c r="O72" s="18" vm="150">
        <f ca="1"/>
        <v>1.1580999999999999</v>
      </c>
    </row>
    <row r="73" spans="14:15" x14ac:dyDescent="0.35">
      <c r="N73" s="18" vm="151">
        <f ca="1"/>
        <v>46097</v>
      </c>
      <c r="O73" s="18" vm="152">
        <f ca="1"/>
        <v>1.1527000000000001</v>
      </c>
    </row>
    <row r="74" spans="14:15" x14ac:dyDescent="0.35">
      <c r="N74" s="18" vm="153">
        <f ca="1"/>
        <v>46104</v>
      </c>
      <c r="O74" s="18" vm="141">
        <f ca="1"/>
        <v>1.1515</v>
      </c>
    </row>
    <row r="75" spans="14:15" x14ac:dyDescent="0.35">
      <c r="N75" s="18" vm="154">
        <f ca="1"/>
        <v>46111</v>
      </c>
      <c r="O75" s="18" vm="103">
        <f ca="1"/>
        <v>1.145</v>
      </c>
    </row>
    <row r="76" spans="14:15" x14ac:dyDescent="0.35">
      <c r="N76" s="18" vm="155">
        <f ca="1"/>
        <v>46118</v>
      </c>
      <c r="O76" s="18" vm="156">
        <f ca="1"/>
        <v>1.1482000000000001</v>
      </c>
    </row>
    <row r="77" spans="14:15" x14ac:dyDescent="0.35">
      <c r="N77" s="18" vm="157">
        <f ca="1"/>
        <v>46125</v>
      </c>
      <c r="O77" s="18" vm="158">
        <f ca="1"/>
        <v>1.1487000000000001</v>
      </c>
    </row>
    <row r="78" spans="14:15" x14ac:dyDescent="0.35">
      <c r="N78" s="18" vm="159">
        <f ca="1"/>
        <v>46132</v>
      </c>
      <c r="O78" s="18" vm="160">
        <f ca="1"/>
        <v>1.1540999999999999</v>
      </c>
    </row>
    <row r="79" spans="14:15" x14ac:dyDescent="0.35">
      <c r="N79" s="18" vm="161">
        <f ca="1"/>
        <v>46139</v>
      </c>
      <c r="O79" s="18" vm="162">
        <f ca="1"/>
        <v>1.1577999999999999</v>
      </c>
    </row>
    <row r="80" spans="14:15" x14ac:dyDescent="0.35">
      <c r="N80" s="18" vm="163">
        <f ca="1"/>
        <v>46146</v>
      </c>
      <c r="O80" s="18" vm="164">
        <f ca="1"/>
        <v>1.1564000000000001</v>
      </c>
    </row>
    <row r="81" spans="14:15" x14ac:dyDescent="0.35">
      <c r="N81" s="18" vm="165">
        <f ca="1"/>
        <v>46153</v>
      </c>
      <c r="O81" s="18" vm="166">
        <f ca="1"/>
        <v>1.1456999999999999</v>
      </c>
    </row>
    <row r="82" spans="14:15" x14ac:dyDescent="0.35">
      <c r="N82" s="18" vm="167">
        <f ca="1"/>
        <v>46160</v>
      </c>
      <c r="O82" s="18" vm="168">
        <f ca="1"/>
        <v>1.1571</v>
      </c>
    </row>
    <row r="83" spans="14:15" x14ac:dyDescent="0.35">
      <c r="N83" s="18" vm="169">
        <f ca="1"/>
        <v>46167</v>
      </c>
      <c r="O83" s="18" vm="148">
        <f ca="1"/>
        <v>1.1541999999999999</v>
      </c>
    </row>
  </sheetData>
  <dataValidations count="1">
    <dataValidation type="list" allowBlank="1" showInputMessage="1" showErrorMessage="1" sqref="N7" xr:uid="{37237DC2-768F-43FA-92A2-A1177B154831}">
      <formula1>$E$5:$E$31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MEGALA MANI</dc:creator>
  <cp:lastModifiedBy>arun mani</cp:lastModifiedBy>
  <dcterms:created xsi:type="dcterms:W3CDTF">2025-10-25T18:25:31Z</dcterms:created>
  <dcterms:modified xsi:type="dcterms:W3CDTF">2026-05-30T16:27:20Z</dcterms:modified>
</cp:coreProperties>
</file>